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741FBAD-5133-4358-8FBF-F2EC3C6B9B6D}" xr6:coauthVersionLast="36" xr6:coauthVersionMax="45" xr10:uidLastSave="{00000000-0000-0000-0000-000000000000}"/>
  <bookViews>
    <workbookView xWindow="-105" yWindow="-105" windowWidth="19425" windowHeight="10425" activeTab="1" xr2:uid="{00000000-000D-0000-FFFF-FFFF00000000}"/>
  </bookViews>
  <sheets>
    <sheet name="Sheet1" sheetId="2" r:id="rId1"/>
    <sheet name="Sheet2" sheetId="3" r:id="rId2"/>
  </sheets>
  <calcPr calcId="191029"/>
</workbook>
</file>

<file path=xl/calcChain.xml><?xml version="1.0" encoding="utf-8"?>
<calcChain xmlns="http://schemas.openxmlformats.org/spreadsheetml/2006/main">
  <c r="C18" i="3" l="1"/>
  <c r="D18" i="3"/>
  <c r="E18" i="3"/>
  <c r="B18" i="3"/>
  <c r="C3" i="3" l="1"/>
  <c r="E3" i="3" s="1"/>
  <c r="C4" i="3"/>
  <c r="E4" i="3" s="1"/>
  <c r="C5" i="3"/>
  <c r="E5" i="3" s="1"/>
  <c r="C6" i="3"/>
  <c r="E6" i="3" s="1"/>
  <c r="C7" i="3"/>
  <c r="E7" i="3" s="1"/>
  <c r="C8" i="3"/>
  <c r="E8" i="3" s="1"/>
  <c r="C9" i="3"/>
  <c r="E9" i="3" s="1"/>
  <c r="C10" i="3"/>
  <c r="E10" i="3" s="1"/>
  <c r="C11" i="3"/>
  <c r="C12" i="3"/>
  <c r="E12" i="3" s="1"/>
  <c r="C13" i="3"/>
  <c r="E13" i="3" s="1"/>
  <c r="C14" i="3"/>
  <c r="E14" i="3" s="1"/>
  <c r="C15" i="3"/>
  <c r="C16" i="3"/>
  <c r="E16" i="3" s="1"/>
  <c r="C2" i="3"/>
  <c r="E2" i="3" s="1"/>
  <c r="E11" i="3"/>
  <c r="E15" i="3"/>
  <c r="K106" i="2" l="1"/>
  <c r="J107" i="2" s="1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B36" i="2" s="1" a="1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P18" i="2"/>
  <c r="P19" i="2" s="1"/>
  <c r="O18" i="2"/>
  <c r="O19" i="2" s="1"/>
  <c r="N18" i="2"/>
  <c r="N52" i="2" s="1"/>
  <c r="M18" i="2"/>
  <c r="M52" i="2" s="1"/>
  <c r="L18" i="2"/>
  <c r="L52" i="2" s="1"/>
  <c r="K18" i="2"/>
  <c r="K19" i="2" s="1"/>
  <c r="J18" i="2"/>
  <c r="J19" i="2" s="1"/>
  <c r="I18" i="2"/>
  <c r="I19" i="2" s="1"/>
  <c r="H18" i="2"/>
  <c r="H19" i="2" s="1"/>
  <c r="G18" i="2"/>
  <c r="G19" i="2" s="1"/>
  <c r="F18" i="2"/>
  <c r="F52" i="2" s="1"/>
  <c r="E18" i="2"/>
  <c r="E52" i="2" s="1"/>
  <c r="D18" i="2"/>
  <c r="D52" i="2" s="1"/>
  <c r="C18" i="2"/>
  <c r="C19" i="2" s="1"/>
  <c r="B18" i="2"/>
  <c r="B19" i="2" s="1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M50" i="2" l="1"/>
  <c r="E50" i="2"/>
  <c r="E69" i="2" s="1"/>
  <c r="L49" i="2"/>
  <c r="D49" i="2"/>
  <c r="K48" i="2"/>
  <c r="C48" i="2"/>
  <c r="J47" i="2"/>
  <c r="B47" i="2"/>
  <c r="I46" i="2"/>
  <c r="P45" i="2"/>
  <c r="H45" i="2"/>
  <c r="O44" i="2"/>
  <c r="G44" i="2"/>
  <c r="N43" i="2"/>
  <c r="F43" i="2"/>
  <c r="M42" i="2"/>
  <c r="E42" i="2"/>
  <c r="L41" i="2"/>
  <c r="D41" i="2"/>
  <c r="K40" i="2"/>
  <c r="C40" i="2"/>
  <c r="J39" i="2"/>
  <c r="B39" i="2"/>
  <c r="I38" i="2"/>
  <c r="P37" i="2"/>
  <c r="H37" i="2"/>
  <c r="O36" i="2"/>
  <c r="G36" i="2"/>
  <c r="L50" i="2"/>
  <c r="D50" i="2"/>
  <c r="K49" i="2"/>
  <c r="C49" i="2"/>
  <c r="J48" i="2"/>
  <c r="B48" i="2"/>
  <c r="I47" i="2"/>
  <c r="P46" i="2"/>
  <c r="H46" i="2"/>
  <c r="O45" i="2"/>
  <c r="G45" i="2"/>
  <c r="N44" i="2"/>
  <c r="F44" i="2"/>
  <c r="M43" i="2"/>
  <c r="E43" i="2"/>
  <c r="L42" i="2"/>
  <c r="D42" i="2"/>
  <c r="K41" i="2"/>
  <c r="C41" i="2"/>
  <c r="J40" i="2"/>
  <c r="B40" i="2"/>
  <c r="I39" i="2"/>
  <c r="P38" i="2"/>
  <c r="H38" i="2"/>
  <c r="O37" i="2"/>
  <c r="G37" i="2"/>
  <c r="N36" i="2"/>
  <c r="F36" i="2"/>
  <c r="K50" i="2"/>
  <c r="C50" i="2"/>
  <c r="C69" i="2" s="1"/>
  <c r="J49" i="2"/>
  <c r="B49" i="2"/>
  <c r="I48" i="2"/>
  <c r="P47" i="2"/>
  <c r="H47" i="2"/>
  <c r="O46" i="2"/>
  <c r="G46" i="2"/>
  <c r="N45" i="2"/>
  <c r="F45" i="2"/>
  <c r="M44" i="2"/>
  <c r="E44" i="2"/>
  <c r="L43" i="2"/>
  <c r="D43" i="2"/>
  <c r="K42" i="2"/>
  <c r="C42" i="2"/>
  <c r="J41" i="2"/>
  <c r="B41" i="2"/>
  <c r="I40" i="2"/>
  <c r="P39" i="2"/>
  <c r="H39" i="2"/>
  <c r="O38" i="2"/>
  <c r="G38" i="2"/>
  <c r="N37" i="2"/>
  <c r="F37" i="2"/>
  <c r="M36" i="2"/>
  <c r="E36" i="2"/>
  <c r="J50" i="2"/>
  <c r="B50" i="2"/>
  <c r="I49" i="2"/>
  <c r="P48" i="2"/>
  <c r="H48" i="2"/>
  <c r="O47" i="2"/>
  <c r="G47" i="2"/>
  <c r="N46" i="2"/>
  <c r="F46" i="2"/>
  <c r="M45" i="2"/>
  <c r="E45" i="2"/>
  <c r="L44" i="2"/>
  <c r="D44" i="2"/>
  <c r="K43" i="2"/>
  <c r="C43" i="2"/>
  <c r="J42" i="2"/>
  <c r="B42" i="2"/>
  <c r="I41" i="2"/>
  <c r="P40" i="2"/>
  <c r="H40" i="2"/>
  <c r="O39" i="2"/>
  <c r="G39" i="2"/>
  <c r="N38" i="2"/>
  <c r="F38" i="2"/>
  <c r="M37" i="2"/>
  <c r="E37" i="2"/>
  <c r="L36" i="2"/>
  <c r="D36" i="2"/>
  <c r="I50" i="2"/>
  <c r="P49" i="2"/>
  <c r="H49" i="2"/>
  <c r="O48" i="2"/>
  <c r="G48" i="2"/>
  <c r="N47" i="2"/>
  <c r="F47" i="2"/>
  <c r="M46" i="2"/>
  <c r="E46" i="2"/>
  <c r="L45" i="2"/>
  <c r="D45" i="2"/>
  <c r="K44" i="2"/>
  <c r="C44" i="2"/>
  <c r="J43" i="2"/>
  <c r="B43" i="2"/>
  <c r="I42" i="2"/>
  <c r="P41" i="2"/>
  <c r="H41" i="2"/>
  <c r="O40" i="2"/>
  <c r="G40" i="2"/>
  <c r="N39" i="2"/>
  <c r="F39" i="2"/>
  <c r="M38" i="2"/>
  <c r="E38" i="2"/>
  <c r="L37" i="2"/>
  <c r="D37" i="2"/>
  <c r="K36" i="2"/>
  <c r="C36" i="2"/>
  <c r="P50" i="2"/>
  <c r="H50" i="2"/>
  <c r="O49" i="2"/>
  <c r="G49" i="2"/>
  <c r="N48" i="2"/>
  <c r="F48" i="2"/>
  <c r="M47" i="2"/>
  <c r="E47" i="2"/>
  <c r="L46" i="2"/>
  <c r="D46" i="2"/>
  <c r="K45" i="2"/>
  <c r="C45" i="2"/>
  <c r="J44" i="2"/>
  <c r="B44" i="2"/>
  <c r="I43" i="2"/>
  <c r="P42" i="2"/>
  <c r="H42" i="2"/>
  <c r="O41" i="2"/>
  <c r="G41" i="2"/>
  <c r="N40" i="2"/>
  <c r="F40" i="2"/>
  <c r="M39" i="2"/>
  <c r="E39" i="2"/>
  <c r="L38" i="2"/>
  <c r="D38" i="2"/>
  <c r="K37" i="2"/>
  <c r="C37" i="2"/>
  <c r="J36" i="2"/>
  <c r="B36" i="2"/>
  <c r="O50" i="2"/>
  <c r="O69" i="2" s="1"/>
  <c r="G50" i="2"/>
  <c r="N49" i="2"/>
  <c r="F49" i="2"/>
  <c r="M48" i="2"/>
  <c r="E48" i="2"/>
  <c r="L47" i="2"/>
  <c r="D47" i="2"/>
  <c r="K46" i="2"/>
  <c r="C46" i="2"/>
  <c r="J45" i="2"/>
  <c r="B45" i="2"/>
  <c r="I44" i="2"/>
  <c r="P43" i="2"/>
  <c r="H43" i="2"/>
  <c r="O42" i="2"/>
  <c r="G42" i="2"/>
  <c r="N41" i="2"/>
  <c r="F41" i="2"/>
  <c r="M40" i="2"/>
  <c r="E40" i="2"/>
  <c r="L39" i="2"/>
  <c r="D39" i="2"/>
  <c r="K38" i="2"/>
  <c r="C38" i="2"/>
  <c r="J37" i="2"/>
  <c r="B37" i="2"/>
  <c r="I36" i="2"/>
  <c r="N50" i="2"/>
  <c r="F50" i="2"/>
  <c r="M49" i="2"/>
  <c r="E49" i="2"/>
  <c r="L48" i="2"/>
  <c r="D48" i="2"/>
  <c r="K47" i="2"/>
  <c r="C47" i="2"/>
  <c r="J46" i="2"/>
  <c r="B46" i="2"/>
  <c r="I45" i="2"/>
  <c r="P44" i="2"/>
  <c r="H44" i="2"/>
  <c r="O43" i="2"/>
  <c r="G43" i="2"/>
  <c r="N42" i="2"/>
  <c r="F42" i="2"/>
  <c r="M41" i="2"/>
  <c r="E41" i="2"/>
  <c r="L40" i="2"/>
  <c r="D40" i="2"/>
  <c r="K39" i="2"/>
  <c r="C39" i="2"/>
  <c r="J38" i="2"/>
  <c r="B38" i="2"/>
  <c r="I37" i="2"/>
  <c r="P36" i="2"/>
  <c r="H36" i="2"/>
  <c r="D19" i="2"/>
  <c r="L19" i="2"/>
  <c r="G52" i="2"/>
  <c r="O52" i="2"/>
  <c r="E19" i="2"/>
  <c r="M19" i="2"/>
  <c r="H52" i="2"/>
  <c r="P52" i="2"/>
  <c r="F19" i="2"/>
  <c r="N19" i="2"/>
  <c r="I52" i="2"/>
  <c r="B52" i="2"/>
  <c r="J52" i="2"/>
  <c r="C52" i="2"/>
  <c r="K52" i="2"/>
  <c r="K107" i="2"/>
  <c r="J108" i="2"/>
  <c r="N69" i="2" l="1"/>
  <c r="H69" i="2"/>
  <c r="B69" i="2"/>
  <c r="D69" i="2"/>
  <c r="D55" i="2"/>
  <c r="B57" i="2"/>
  <c r="F57" i="2"/>
  <c r="D59" i="2"/>
  <c r="H59" i="2"/>
  <c r="F61" i="2"/>
  <c r="J61" i="2"/>
  <c r="H63" i="2"/>
  <c r="L63" i="2"/>
  <c r="J65" i="2"/>
  <c r="N65" i="2"/>
  <c r="L67" i="2"/>
  <c r="D56" i="2"/>
  <c r="C57" i="2"/>
  <c r="F58" i="2"/>
  <c r="E59" i="2"/>
  <c r="H60" i="2"/>
  <c r="G61" i="2"/>
  <c r="J62" i="2"/>
  <c r="I63" i="2"/>
  <c r="L64" i="2"/>
  <c r="K65" i="2"/>
  <c r="N66" i="2"/>
  <c r="M67" i="2"/>
  <c r="B63" i="2"/>
  <c r="J55" i="2"/>
  <c r="D65" i="2"/>
  <c r="L57" i="2"/>
  <c r="F67" i="2"/>
  <c r="N59" i="2"/>
  <c r="B67" i="2"/>
  <c r="N55" i="2"/>
  <c r="N56" i="2"/>
  <c r="C67" i="2"/>
  <c r="C66" i="2"/>
  <c r="M56" i="2"/>
  <c r="E68" i="2"/>
  <c r="O58" i="2"/>
  <c r="K55" i="2"/>
  <c r="B64" i="2"/>
  <c r="M57" i="2"/>
  <c r="D66" i="2"/>
  <c r="O59" i="2"/>
  <c r="F68" i="2"/>
  <c r="B55" i="2"/>
  <c r="J56" i="2"/>
  <c r="C63" i="2"/>
  <c r="L58" i="2"/>
  <c r="E65" i="2"/>
  <c r="N60" i="2"/>
  <c r="G67" i="2"/>
  <c r="I69" i="2"/>
  <c r="H55" i="2"/>
  <c r="B61" i="2"/>
  <c r="J57" i="2"/>
  <c r="D63" i="2"/>
  <c r="L59" i="2"/>
  <c r="F65" i="2"/>
  <c r="N61" i="2"/>
  <c r="H67" i="2"/>
  <c r="J69" i="2"/>
  <c r="H56" i="2"/>
  <c r="C61" i="2"/>
  <c r="J58" i="2"/>
  <c r="E63" i="2"/>
  <c r="L60" i="2"/>
  <c r="G65" i="2"/>
  <c r="N62" i="2"/>
  <c r="I67" i="2"/>
  <c r="K69" i="2"/>
  <c r="B59" i="2"/>
  <c r="F55" i="2"/>
  <c r="D61" i="2"/>
  <c r="H57" i="2"/>
  <c r="F63" i="2"/>
  <c r="J59" i="2"/>
  <c r="H65" i="2"/>
  <c r="L61" i="2"/>
  <c r="J67" i="2"/>
  <c r="N63" i="2"/>
  <c r="L69" i="2"/>
  <c r="F56" i="2"/>
  <c r="C59" i="2"/>
  <c r="H58" i="2"/>
  <c r="E61" i="2"/>
  <c r="J60" i="2"/>
  <c r="G63" i="2"/>
  <c r="L62" i="2"/>
  <c r="I65" i="2"/>
  <c r="N64" i="2"/>
  <c r="K67" i="2"/>
  <c r="M69" i="2"/>
  <c r="C58" i="2"/>
  <c r="E56" i="2"/>
  <c r="E60" i="2"/>
  <c r="G58" i="2"/>
  <c r="G62" i="2"/>
  <c r="I60" i="2"/>
  <c r="I64" i="2"/>
  <c r="K62" i="2"/>
  <c r="K66" i="2"/>
  <c r="M64" i="2"/>
  <c r="M68" i="2"/>
  <c r="O66" i="2"/>
  <c r="C55" i="2"/>
  <c r="B56" i="2"/>
  <c r="E57" i="2"/>
  <c r="D58" i="2"/>
  <c r="G59" i="2"/>
  <c r="F60" i="2"/>
  <c r="I61" i="2"/>
  <c r="H62" i="2"/>
  <c r="K63" i="2"/>
  <c r="J64" i="2"/>
  <c r="M65" i="2"/>
  <c r="L66" i="2"/>
  <c r="O67" i="2"/>
  <c r="N68" i="2"/>
  <c r="K56" i="2"/>
  <c r="C64" i="2"/>
  <c r="M58" i="2"/>
  <c r="E66" i="2"/>
  <c r="O60" i="2"/>
  <c r="G68" i="2"/>
  <c r="O55" i="2"/>
  <c r="B68" i="2"/>
  <c r="O56" i="2"/>
  <c r="C68" i="2"/>
  <c r="M55" i="2"/>
  <c r="B66" i="2"/>
  <c r="O57" i="2"/>
  <c r="D68" i="2"/>
  <c r="L55" i="2"/>
  <c r="B65" i="2"/>
  <c r="N57" i="2"/>
  <c r="D67" i="2"/>
  <c r="F69" i="2"/>
  <c r="L56" i="2"/>
  <c r="C65" i="2"/>
  <c r="N58" i="2"/>
  <c r="E67" i="2"/>
  <c r="G69" i="2"/>
  <c r="I55" i="2"/>
  <c r="B62" i="2"/>
  <c r="K57" i="2"/>
  <c r="D64" i="2"/>
  <c r="M59" i="2"/>
  <c r="F66" i="2"/>
  <c r="O61" i="2"/>
  <c r="H68" i="2"/>
  <c r="C62" i="2"/>
  <c r="I56" i="2"/>
  <c r="E64" i="2"/>
  <c r="K58" i="2"/>
  <c r="G66" i="2"/>
  <c r="M60" i="2"/>
  <c r="I68" i="2"/>
  <c r="O62" i="2"/>
  <c r="G55" i="2"/>
  <c r="B60" i="2"/>
  <c r="I57" i="2"/>
  <c r="D62" i="2"/>
  <c r="K59" i="2"/>
  <c r="F64" i="2"/>
  <c r="M61" i="2"/>
  <c r="H66" i="2"/>
  <c r="O63" i="2"/>
  <c r="J68" i="2"/>
  <c r="G56" i="2"/>
  <c r="C60" i="2"/>
  <c r="I58" i="2"/>
  <c r="E62" i="2"/>
  <c r="K60" i="2"/>
  <c r="G64" i="2"/>
  <c r="M62" i="2"/>
  <c r="I66" i="2"/>
  <c r="O64" i="2"/>
  <c r="K68" i="2"/>
  <c r="E55" i="2"/>
  <c r="B58" i="2"/>
  <c r="G57" i="2"/>
  <c r="D60" i="2"/>
  <c r="I59" i="2"/>
  <c r="F62" i="2"/>
  <c r="K61" i="2"/>
  <c r="H64" i="2"/>
  <c r="M63" i="2"/>
  <c r="J66" i="2"/>
  <c r="O65" i="2"/>
  <c r="L68" i="2"/>
  <c r="P59" i="2"/>
  <c r="P58" i="2"/>
  <c r="P66" i="2"/>
  <c r="P67" i="2"/>
  <c r="P61" i="2"/>
  <c r="P55" i="2"/>
  <c r="P57" i="2"/>
  <c r="P68" i="2"/>
  <c r="P56" i="2"/>
  <c r="P63" i="2"/>
  <c r="P65" i="2"/>
  <c r="J109" i="2"/>
  <c r="K108" i="2"/>
  <c r="P60" i="2"/>
  <c r="B72" i="2" a="1"/>
  <c r="P62" i="2"/>
  <c r="P64" i="2"/>
  <c r="J110" i="2" l="1"/>
  <c r="K109" i="2"/>
  <c r="O86" i="2"/>
  <c r="G86" i="2"/>
  <c r="N85" i="2"/>
  <c r="F85" i="2"/>
  <c r="M84" i="2"/>
  <c r="E84" i="2"/>
  <c r="L83" i="2"/>
  <c r="D83" i="2"/>
  <c r="K82" i="2"/>
  <c r="C82" i="2"/>
  <c r="J81" i="2"/>
  <c r="B81" i="2"/>
  <c r="I80" i="2"/>
  <c r="P79" i="2"/>
  <c r="M86" i="2"/>
  <c r="D86" i="2"/>
  <c r="J85" i="2"/>
  <c r="P84" i="2"/>
  <c r="G84" i="2"/>
  <c r="M83" i="2"/>
  <c r="C83" i="2"/>
  <c r="I82" i="2"/>
  <c r="O81" i="2"/>
  <c r="F81" i="2"/>
  <c r="L80" i="2"/>
  <c r="C80" i="2"/>
  <c r="I79" i="2"/>
  <c r="P78" i="2"/>
  <c r="H78" i="2"/>
  <c r="O77" i="2"/>
  <c r="G77" i="2"/>
  <c r="N76" i="2"/>
  <c r="F76" i="2"/>
  <c r="M75" i="2"/>
  <c r="E75" i="2"/>
  <c r="L74" i="2"/>
  <c r="D74" i="2"/>
  <c r="K73" i="2"/>
  <c r="C73" i="2"/>
  <c r="J72" i="2"/>
  <c r="B72" i="2"/>
  <c r="L86" i="2"/>
  <c r="C86" i="2"/>
  <c r="I85" i="2"/>
  <c r="O84" i="2"/>
  <c r="F84" i="2"/>
  <c r="K83" i="2"/>
  <c r="B83" i="2"/>
  <c r="H82" i="2"/>
  <c r="N81" i="2"/>
  <c r="E81" i="2"/>
  <c r="K80" i="2"/>
  <c r="B80" i="2"/>
  <c r="H79" i="2"/>
  <c r="O78" i="2"/>
  <c r="G78" i="2"/>
  <c r="N77" i="2"/>
  <c r="F77" i="2"/>
  <c r="M76" i="2"/>
  <c r="E76" i="2"/>
  <c r="L75" i="2"/>
  <c r="D75" i="2"/>
  <c r="K74" i="2"/>
  <c r="C74" i="2"/>
  <c r="J73" i="2"/>
  <c r="B73" i="2"/>
  <c r="I72" i="2"/>
  <c r="K86" i="2"/>
  <c r="B86" i="2"/>
  <c r="H85" i="2"/>
  <c r="N84" i="2"/>
  <c r="D84" i="2"/>
  <c r="J83" i="2"/>
  <c r="P82" i="2"/>
  <c r="G82" i="2"/>
  <c r="M81" i="2"/>
  <c r="D81" i="2"/>
  <c r="J80" i="2"/>
  <c r="O79" i="2"/>
  <c r="G79" i="2"/>
  <c r="N78" i="2"/>
  <c r="F78" i="2"/>
  <c r="M77" i="2"/>
  <c r="E77" i="2"/>
  <c r="L76" i="2"/>
  <c r="D76" i="2"/>
  <c r="K75" i="2"/>
  <c r="C75" i="2"/>
  <c r="J74" i="2"/>
  <c r="B74" i="2"/>
  <c r="I73" i="2"/>
  <c r="P72" i="2"/>
  <c r="H72" i="2"/>
  <c r="J86" i="2"/>
  <c r="P85" i="2"/>
  <c r="G85" i="2"/>
  <c r="L84" i="2"/>
  <c r="C84" i="2"/>
  <c r="I83" i="2"/>
  <c r="O82" i="2"/>
  <c r="F82" i="2"/>
  <c r="L81" i="2"/>
  <c r="C81" i="2"/>
  <c r="H80" i="2"/>
  <c r="N79" i="2"/>
  <c r="F79" i="2"/>
  <c r="M78" i="2"/>
  <c r="E78" i="2"/>
  <c r="L77" i="2"/>
  <c r="D77" i="2"/>
  <c r="K76" i="2"/>
  <c r="C76" i="2"/>
  <c r="J75" i="2"/>
  <c r="B75" i="2"/>
  <c r="I74" i="2"/>
  <c r="P73" i="2"/>
  <c r="H73" i="2"/>
  <c r="O72" i="2"/>
  <c r="G72" i="2"/>
  <c r="O85" i="2"/>
  <c r="K84" i="2"/>
  <c r="H83" i="2"/>
  <c r="E82" i="2"/>
  <c r="P80" i="2"/>
  <c r="M79" i="2"/>
  <c r="L78" i="2"/>
  <c r="K77" i="2"/>
  <c r="J76" i="2"/>
  <c r="I75" i="2"/>
  <c r="H74" i="2"/>
  <c r="G73" i="2"/>
  <c r="F72" i="2"/>
  <c r="M85" i="2"/>
  <c r="J84" i="2"/>
  <c r="G83" i="2"/>
  <c r="D82" i="2"/>
  <c r="O80" i="2"/>
  <c r="L79" i="2"/>
  <c r="K78" i="2"/>
  <c r="J77" i="2"/>
  <c r="I76" i="2"/>
  <c r="H75" i="2"/>
  <c r="G74" i="2"/>
  <c r="F73" i="2"/>
  <c r="E72" i="2"/>
  <c r="P86" i="2"/>
  <c r="L85" i="2"/>
  <c r="I84" i="2"/>
  <c r="F83" i="2"/>
  <c r="B82" i="2"/>
  <c r="N80" i="2"/>
  <c r="K79" i="2"/>
  <c r="J78" i="2"/>
  <c r="I77" i="2"/>
  <c r="H76" i="2"/>
  <c r="G75" i="2"/>
  <c r="F74" i="2"/>
  <c r="E73" i="2"/>
  <c r="D72" i="2"/>
  <c r="N86" i="2"/>
  <c r="K85" i="2"/>
  <c r="H84" i="2"/>
  <c r="E83" i="2"/>
  <c r="P81" i="2"/>
  <c r="M80" i="2"/>
  <c r="J79" i="2"/>
  <c r="I78" i="2"/>
  <c r="H77" i="2"/>
  <c r="G76" i="2"/>
  <c r="F75" i="2"/>
  <c r="E74" i="2"/>
  <c r="D73" i="2"/>
  <c r="C72" i="2"/>
  <c r="I86" i="2"/>
  <c r="E85" i="2"/>
  <c r="B84" i="2"/>
  <c r="N82" i="2"/>
  <c r="K81" i="2"/>
  <c r="G80" i="2"/>
  <c r="E79" i="2"/>
  <c r="D78" i="2"/>
  <c r="C77" i="2"/>
  <c r="B76" i="2"/>
  <c r="P74" i="2"/>
  <c r="O73" i="2"/>
  <c r="N72" i="2"/>
  <c r="H86" i="2"/>
  <c r="D85" i="2"/>
  <c r="P83" i="2"/>
  <c r="M82" i="2"/>
  <c r="I81" i="2"/>
  <c r="F80" i="2"/>
  <c r="D79" i="2"/>
  <c r="C78" i="2"/>
  <c r="B77" i="2"/>
  <c r="P75" i="2"/>
  <c r="O74" i="2"/>
  <c r="N73" i="2"/>
  <c r="M72" i="2"/>
  <c r="F86" i="2"/>
  <c r="C85" i="2"/>
  <c r="O83" i="2"/>
  <c r="L82" i="2"/>
  <c r="H81" i="2"/>
  <c r="E80" i="2"/>
  <c r="C79" i="2"/>
  <c r="B78" i="2"/>
  <c r="P76" i="2"/>
  <c r="O75" i="2"/>
  <c r="N74" i="2"/>
  <c r="M73" i="2"/>
  <c r="L72" i="2"/>
  <c r="E86" i="2"/>
  <c r="B85" i="2"/>
  <c r="N83" i="2"/>
  <c r="J82" i="2"/>
  <c r="G81" i="2"/>
  <c r="D80" i="2"/>
  <c r="B79" i="2"/>
  <c r="P77" i="2"/>
  <c r="O76" i="2"/>
  <c r="N75" i="2"/>
  <c r="M74" i="2"/>
  <c r="L73" i="2"/>
  <c r="K72" i="2"/>
  <c r="E107" i="2" l="1" a="1"/>
  <c r="B107" i="2" a="1"/>
  <c r="K110" i="2"/>
  <c r="J111" i="2"/>
  <c r="E117" i="2" l="1"/>
  <c r="E109" i="2"/>
  <c r="E116" i="2"/>
  <c r="E108" i="2"/>
  <c r="E115" i="2"/>
  <c r="E107" i="2"/>
  <c r="E114" i="2"/>
  <c r="E120" i="2"/>
  <c r="E119" i="2"/>
  <c r="E118" i="2"/>
  <c r="E113" i="2"/>
  <c r="E112" i="2"/>
  <c r="E121" i="2"/>
  <c r="E111" i="2"/>
  <c r="E110" i="2"/>
  <c r="K111" i="2"/>
  <c r="J112" i="2"/>
  <c r="B117" i="2"/>
  <c r="B109" i="2"/>
  <c r="B116" i="2"/>
  <c r="B108" i="2"/>
  <c r="B115" i="2"/>
  <c r="B107" i="2"/>
  <c r="B120" i="2"/>
  <c r="B119" i="2"/>
  <c r="B118" i="2"/>
  <c r="B114" i="2"/>
  <c r="B113" i="2"/>
  <c r="B121" i="2"/>
  <c r="B112" i="2"/>
  <c r="B111" i="2"/>
  <c r="B110" i="2"/>
  <c r="D131" i="2" l="1" a="1"/>
  <c r="D131" i="2" s="1"/>
  <c r="C131" i="2" a="1"/>
  <c r="C131" i="2" s="1"/>
  <c r="F125" i="2"/>
  <c r="J113" i="2"/>
  <c r="K112" i="2"/>
  <c r="C130" i="2" a="1"/>
  <c r="C130" i="2" s="1"/>
  <c r="R137" i="2" s="1"/>
  <c r="C125" i="2"/>
  <c r="S137" i="2" s="1"/>
  <c r="M112" i="2" l="1"/>
  <c r="L112" i="2"/>
  <c r="J114" i="2"/>
  <c r="K113" i="2"/>
  <c r="M113" i="2" s="1"/>
  <c r="L106" i="2" a="1"/>
  <c r="L106" i="2" s="1"/>
  <c r="L107" i="2"/>
  <c r="L108" i="2"/>
  <c r="L109" i="2"/>
  <c r="L110" i="2"/>
  <c r="L111" i="2"/>
  <c r="M106" i="2"/>
  <c r="M107" i="2"/>
  <c r="M108" i="2"/>
  <c r="M109" i="2"/>
  <c r="M110" i="2"/>
  <c r="M111" i="2"/>
  <c r="L113" i="2" l="1"/>
  <c r="K114" i="2"/>
  <c r="M114" i="2" s="1"/>
  <c r="J115" i="2"/>
  <c r="L114" i="2" l="1"/>
  <c r="K115" i="2"/>
  <c r="M115" i="2" s="1"/>
  <c r="J116" i="2"/>
  <c r="J117" i="2" l="1"/>
  <c r="K116" i="2"/>
  <c r="M116" i="2" s="1"/>
  <c r="L115" i="2"/>
  <c r="J118" i="2" l="1"/>
  <c r="K117" i="2"/>
  <c r="L117" i="2" s="1"/>
  <c r="L116" i="2"/>
  <c r="M117" i="2" l="1"/>
  <c r="K118" i="2"/>
  <c r="L118" i="2" s="1"/>
  <c r="J119" i="2"/>
  <c r="M118" i="2" l="1"/>
  <c r="K119" i="2"/>
  <c r="M119" i="2" s="1"/>
  <c r="J120" i="2"/>
  <c r="J121" i="2" l="1"/>
  <c r="K120" i="2"/>
  <c r="L120" i="2" s="1"/>
  <c r="L119" i="2"/>
  <c r="M120" i="2" l="1"/>
  <c r="J122" i="2"/>
  <c r="K121" i="2"/>
  <c r="M121" i="2" s="1"/>
  <c r="L121" i="2" l="1"/>
  <c r="K122" i="2"/>
  <c r="L122" i="2" s="1"/>
  <c r="J123" i="2"/>
  <c r="M122" i="2" l="1"/>
  <c r="J124" i="2"/>
  <c r="K123" i="2"/>
  <c r="L123" i="2" s="1"/>
  <c r="K124" i="2" l="1"/>
  <c r="M124" i="2" s="1"/>
  <c r="J125" i="2"/>
  <c r="M123" i="2"/>
  <c r="L124" i="2" l="1"/>
  <c r="J126" i="2"/>
  <c r="K125" i="2"/>
  <c r="M125" i="2" s="1"/>
  <c r="L125" i="2" l="1"/>
  <c r="K126" i="2"/>
  <c r="L126" i="2" s="1"/>
  <c r="J127" i="2"/>
  <c r="M126" i="2" l="1"/>
  <c r="J128" i="2"/>
  <c r="K127" i="2"/>
  <c r="M127" i="2" s="1"/>
  <c r="L127" i="2" l="1"/>
  <c r="K128" i="2"/>
  <c r="M128" i="2" s="1"/>
  <c r="J129" i="2"/>
  <c r="L128" i="2" l="1"/>
  <c r="J130" i="2"/>
  <c r="K129" i="2"/>
  <c r="M129" i="2" s="1"/>
  <c r="K130" i="2" l="1"/>
  <c r="L130" i="2" s="1"/>
  <c r="J131" i="2"/>
  <c r="L129" i="2"/>
  <c r="M130" i="2" l="1"/>
  <c r="J132" i="2"/>
  <c r="K131" i="2"/>
  <c r="M131" i="2" s="1"/>
  <c r="L131" i="2" l="1"/>
  <c r="K132" i="2"/>
  <c r="M132" i="2" s="1"/>
  <c r="J133" i="2"/>
  <c r="J134" i="2" l="1"/>
  <c r="K133" i="2"/>
  <c r="L133" i="2" s="1"/>
  <c r="M133" i="2"/>
  <c r="L132" i="2"/>
  <c r="K134" i="2" l="1"/>
  <c r="L134" i="2" s="1"/>
  <c r="J135" i="2"/>
  <c r="J136" i="2" l="1"/>
  <c r="K135" i="2"/>
  <c r="M135" i="2" s="1"/>
  <c r="M134" i="2"/>
  <c r="L135" i="2" l="1"/>
  <c r="K136" i="2"/>
  <c r="M136" i="2" s="1"/>
  <c r="J137" i="2"/>
  <c r="L136" i="2" l="1"/>
  <c r="J138" i="2"/>
  <c r="K137" i="2"/>
  <c r="M137" i="2" s="1"/>
  <c r="L137" i="2" l="1"/>
  <c r="K138" i="2"/>
  <c r="M138" i="2" s="1"/>
  <c r="J139" i="2"/>
  <c r="J140" i="2" l="1"/>
  <c r="K139" i="2"/>
  <c r="L139" i="2" s="1"/>
  <c r="L138" i="2"/>
  <c r="M139" i="2" l="1"/>
  <c r="K140" i="2"/>
  <c r="M140" i="2" s="1"/>
  <c r="J141" i="2"/>
  <c r="L140" i="2" l="1"/>
  <c r="J142" i="2"/>
  <c r="K141" i="2"/>
  <c r="L141" i="2" s="1"/>
  <c r="M141" i="2" l="1"/>
  <c r="K142" i="2"/>
  <c r="M142" i="2" s="1"/>
  <c r="J143" i="2"/>
  <c r="J144" i="2" l="1"/>
  <c r="K143" i="2"/>
  <c r="M143" i="2" s="1"/>
  <c r="L142" i="2"/>
  <c r="K144" i="2" l="1"/>
  <c r="L144" i="2" s="1"/>
  <c r="J145" i="2"/>
  <c r="L143" i="2"/>
  <c r="M144" i="2" l="1"/>
  <c r="J146" i="2"/>
  <c r="K145" i="2"/>
  <c r="L145" i="2" s="1"/>
  <c r="M145" i="2" l="1"/>
  <c r="K146" i="2"/>
  <c r="L146" i="2" s="1"/>
  <c r="J147" i="2"/>
  <c r="M146" i="2" l="1"/>
  <c r="J148" i="2"/>
  <c r="K147" i="2"/>
  <c r="M147" i="2" s="1"/>
  <c r="L147" i="2" l="1"/>
  <c r="K148" i="2"/>
  <c r="M148" i="2" s="1"/>
  <c r="J149" i="2"/>
  <c r="J150" i="2" l="1"/>
  <c r="K149" i="2"/>
  <c r="M149" i="2" s="1"/>
  <c r="L148" i="2"/>
  <c r="L149" i="2" l="1"/>
  <c r="K150" i="2"/>
  <c r="M150" i="2" s="1"/>
  <c r="J151" i="2"/>
  <c r="L150" i="2" l="1"/>
  <c r="J152" i="2"/>
  <c r="K151" i="2"/>
  <c r="M151" i="2" s="1"/>
  <c r="L151" i="2" l="1"/>
  <c r="K152" i="2"/>
  <c r="M152" i="2" s="1"/>
  <c r="J153" i="2"/>
  <c r="J154" i="2" l="1"/>
  <c r="K153" i="2"/>
  <c r="L153" i="2" s="1"/>
  <c r="L152" i="2"/>
  <c r="M153" i="2" l="1"/>
  <c r="K154" i="2"/>
  <c r="L154" i="2" s="1"/>
  <c r="J155" i="2"/>
  <c r="M154" i="2" l="1"/>
  <c r="J156" i="2"/>
  <c r="K155" i="2"/>
  <c r="M155" i="2" s="1"/>
  <c r="L155" i="2" l="1"/>
  <c r="K156" i="2"/>
  <c r="M156" i="2" s="1"/>
  <c r="J157" i="2"/>
  <c r="J158" i="2" l="1"/>
  <c r="K157" i="2"/>
  <c r="L157" i="2" s="1"/>
  <c r="M157" i="2"/>
  <c r="L156" i="2"/>
  <c r="K158" i="2" l="1"/>
  <c r="M158" i="2" s="1"/>
  <c r="J159" i="2"/>
  <c r="L158" i="2" l="1"/>
  <c r="J160" i="2"/>
  <c r="K159" i="2"/>
  <c r="M159" i="2" s="1"/>
  <c r="L159" i="2" l="1"/>
  <c r="K160" i="2"/>
  <c r="L160" i="2" s="1"/>
  <c r="J161" i="2"/>
  <c r="J162" i="2" l="1"/>
  <c r="K161" i="2"/>
  <c r="L161" i="2" s="1"/>
  <c r="M161" i="2"/>
  <c r="M160" i="2"/>
  <c r="K162" i="2" l="1"/>
  <c r="M162" i="2" s="1"/>
  <c r="J163" i="2"/>
  <c r="J164" i="2" l="1"/>
  <c r="K163" i="2"/>
  <c r="L163" i="2" s="1"/>
  <c r="L162" i="2"/>
  <c r="M163" i="2" l="1"/>
  <c r="K164" i="2"/>
  <c r="M164" i="2" s="1"/>
  <c r="J165" i="2"/>
  <c r="J166" i="2" l="1"/>
  <c r="K165" i="2"/>
  <c r="L165" i="2" s="1"/>
  <c r="L164" i="2"/>
  <c r="M165" i="2" l="1"/>
  <c r="M166" i="2"/>
  <c r="K166" i="2"/>
  <c r="L166" i="2" s="1"/>
  <c r="J167" i="2"/>
  <c r="J168" i="2" l="1"/>
  <c r="K167" i="2"/>
  <c r="M167" i="2" s="1"/>
  <c r="K168" i="2" l="1"/>
  <c r="L168" i="2" s="1"/>
  <c r="J169" i="2"/>
  <c r="L167" i="2"/>
  <c r="M168" i="2" l="1"/>
  <c r="J170" i="2"/>
  <c r="K169" i="2"/>
  <c r="L169" i="2" s="1"/>
  <c r="M169" i="2"/>
  <c r="K170" i="2" l="1"/>
  <c r="M170" i="2" s="1"/>
  <c r="J171" i="2"/>
  <c r="L170" i="2" l="1"/>
  <c r="J172" i="2"/>
  <c r="K171" i="2"/>
  <c r="L171" i="2" s="1"/>
  <c r="M171" i="2" l="1"/>
  <c r="K172" i="2"/>
  <c r="L172" i="2" s="1"/>
  <c r="J173" i="2"/>
  <c r="M172" i="2" l="1"/>
  <c r="J174" i="2"/>
  <c r="K173" i="2"/>
  <c r="L173" i="2" s="1"/>
  <c r="K174" i="2" l="1"/>
  <c r="M174" i="2" s="1"/>
  <c r="J175" i="2"/>
  <c r="M173" i="2"/>
  <c r="J176" i="2" l="1"/>
  <c r="K175" i="2"/>
  <c r="M175" i="2" s="1"/>
  <c r="L174" i="2"/>
  <c r="L175" i="2" l="1"/>
  <c r="K176" i="2"/>
  <c r="M176" i="2" s="1"/>
  <c r="J177" i="2"/>
  <c r="J178" i="2" l="1"/>
  <c r="K177" i="2"/>
  <c r="L177" i="2" s="1"/>
  <c r="L176" i="2"/>
  <c r="M177" i="2" l="1"/>
  <c r="K178" i="2"/>
  <c r="M178" i="2" s="1"/>
  <c r="J179" i="2"/>
  <c r="J180" i="2" l="1"/>
  <c r="K179" i="2"/>
  <c r="M179" i="2" s="1"/>
  <c r="L178" i="2"/>
  <c r="K180" i="2" l="1"/>
  <c r="M180" i="2" s="1"/>
  <c r="J181" i="2"/>
  <c r="L179" i="2"/>
  <c r="L180" i="2" l="1"/>
  <c r="J182" i="2"/>
  <c r="K181" i="2"/>
  <c r="L181" i="2" s="1"/>
  <c r="M181" i="2" l="1"/>
  <c r="K182" i="2"/>
  <c r="M182" i="2" s="1"/>
  <c r="J183" i="2"/>
  <c r="J184" i="2" l="1"/>
  <c r="K183" i="2"/>
  <c r="L183" i="2" s="1"/>
  <c r="L182" i="2"/>
  <c r="M183" i="2" l="1"/>
  <c r="K184" i="2"/>
  <c r="M184" i="2" s="1"/>
  <c r="J185" i="2"/>
  <c r="J186" i="2" l="1"/>
  <c r="K185" i="2"/>
  <c r="L185" i="2" s="1"/>
  <c r="L184" i="2"/>
  <c r="M185" i="2" l="1"/>
  <c r="K186" i="2"/>
  <c r="M186" i="2" s="1"/>
  <c r="J187" i="2"/>
  <c r="J188" i="2" l="1"/>
  <c r="K187" i="2"/>
  <c r="L187" i="2" s="1"/>
  <c r="L186" i="2"/>
  <c r="M187" i="2" l="1"/>
  <c r="K188" i="2"/>
  <c r="L188" i="2" s="1"/>
  <c r="J189" i="2"/>
  <c r="J190" i="2" l="1"/>
  <c r="K189" i="2"/>
  <c r="M189" i="2" s="1"/>
  <c r="M188" i="2"/>
  <c r="L189" i="2" l="1"/>
  <c r="K190" i="2"/>
  <c r="M190" i="2" s="1"/>
  <c r="J191" i="2"/>
  <c r="L190" i="2" l="1"/>
  <c r="J192" i="2"/>
  <c r="K191" i="2"/>
  <c r="M191" i="2" s="1"/>
  <c r="L191" i="2" l="1"/>
  <c r="K192" i="2"/>
  <c r="M192" i="2" s="1"/>
  <c r="J193" i="2"/>
  <c r="L192" i="2" l="1"/>
  <c r="J194" i="2"/>
  <c r="K193" i="2"/>
  <c r="M193" i="2" s="1"/>
  <c r="L193" i="2" l="1"/>
  <c r="K194" i="2"/>
  <c r="M194" i="2" s="1"/>
  <c r="J195" i="2"/>
  <c r="L194" i="2" l="1"/>
  <c r="J196" i="2"/>
  <c r="K195" i="2"/>
  <c r="M195" i="2" s="1"/>
  <c r="L195" i="2" l="1"/>
  <c r="K196" i="2"/>
  <c r="M196" i="2" s="1"/>
  <c r="J197" i="2"/>
  <c r="L196" i="2" l="1"/>
  <c r="J198" i="2"/>
  <c r="K197" i="2"/>
  <c r="M197" i="2" s="1"/>
  <c r="L197" i="2" l="1"/>
  <c r="K198" i="2"/>
  <c r="M198" i="2" s="1"/>
  <c r="J199" i="2"/>
  <c r="J200" i="2" l="1"/>
  <c r="K199" i="2"/>
  <c r="L199" i="2" s="1"/>
  <c r="L198" i="2"/>
  <c r="M199" i="2" l="1"/>
  <c r="K200" i="2"/>
  <c r="M200" i="2" s="1"/>
  <c r="J201" i="2"/>
  <c r="L200" i="2" l="1"/>
  <c r="J202" i="2"/>
  <c r="K201" i="2"/>
  <c r="L201" i="2" s="1"/>
  <c r="M201" i="2" l="1"/>
  <c r="K202" i="2"/>
  <c r="M202" i="2" s="1"/>
  <c r="J203" i="2"/>
  <c r="J204" i="2" l="1"/>
  <c r="K203" i="2"/>
  <c r="M203" i="2" s="1"/>
  <c r="L202" i="2"/>
  <c r="L203" i="2" l="1"/>
  <c r="K204" i="2"/>
  <c r="M204" i="2" s="1"/>
  <c r="J205" i="2"/>
  <c r="J206" i="2" l="1"/>
  <c r="K205" i="2"/>
  <c r="L205" i="2" s="1"/>
  <c r="M205" i="2"/>
  <c r="L204" i="2"/>
  <c r="K206" i="2" l="1"/>
  <c r="L206" i="2" s="1"/>
  <c r="M206" i="2" l="1"/>
</calcChain>
</file>

<file path=xl/sharedStrings.xml><?xml version="1.0" encoding="utf-8"?>
<sst xmlns="http://schemas.openxmlformats.org/spreadsheetml/2006/main" count="188" uniqueCount="58">
  <si>
    <t>DATE</t>
  </si>
  <si>
    <t>ASTRA</t>
  </si>
  <si>
    <t>SEGRO</t>
  </si>
  <si>
    <t>JD SPORTS</t>
  </si>
  <si>
    <t>AVEVA</t>
  </si>
  <si>
    <t>WSP</t>
  </si>
  <si>
    <t>TESCO</t>
  </si>
  <si>
    <t>SVT</t>
  </si>
  <si>
    <t>REL</t>
  </si>
  <si>
    <t>NATIONAL GRID</t>
  </si>
  <si>
    <t>JE</t>
  </si>
  <si>
    <t>GRG</t>
  </si>
  <si>
    <t>EASY-JET</t>
  </si>
  <si>
    <t>BWY</t>
  </si>
  <si>
    <t>BKG</t>
  </si>
  <si>
    <t>MONTHLY RETURN</t>
  </si>
  <si>
    <t>Annual Return</t>
  </si>
  <si>
    <t>MONTHLY RISK</t>
  </si>
  <si>
    <t>ANNUAL RISK</t>
  </si>
  <si>
    <t>Excess Return</t>
  </si>
  <si>
    <t>Co(Variance) Matrix</t>
  </si>
  <si>
    <t>Standarn Deviation</t>
  </si>
  <si>
    <t>Correlation  Matrix</t>
  </si>
  <si>
    <t>Inverse of VCV</t>
  </si>
  <si>
    <t>AVA.MON.RETURN(Et)</t>
  </si>
  <si>
    <t>Target Er</t>
  </si>
  <si>
    <t>Desired Weights</t>
  </si>
  <si>
    <t xml:space="preserve">Portfolio </t>
  </si>
  <si>
    <t>X</t>
  </si>
  <si>
    <t>WEIGHT X</t>
  </si>
  <si>
    <t>WEIGHT Y</t>
  </si>
  <si>
    <t>Y</t>
  </si>
  <si>
    <t>Return</t>
  </si>
  <si>
    <t>SD</t>
  </si>
  <si>
    <t>Portfolio return</t>
  </si>
  <si>
    <t>VALUE</t>
  </si>
  <si>
    <t>CURRENT PRICE</t>
  </si>
  <si>
    <t>ASTRAZENECA</t>
  </si>
  <si>
    <t>JD SPORTS FASHION</t>
  </si>
  <si>
    <t>REL-X</t>
  </si>
  <si>
    <t>OPTIMAL PORTFOLIO</t>
  </si>
  <si>
    <t>RISK</t>
  </si>
  <si>
    <t>RETURN</t>
  </si>
  <si>
    <t>GLOBAL MINIMUM VARIANCE PORTFOLIO</t>
  </si>
  <si>
    <t>VCV MATRIX OF THE PORTFOLIOS</t>
  </si>
  <si>
    <t>RISK FREE RETURN</t>
  </si>
  <si>
    <t>British American Tobacco (BATS)</t>
  </si>
  <si>
    <t>WYNNSTAY PROPERTIES (WSP)</t>
  </si>
  <si>
    <t>SEVERN TRENT (SVT)</t>
  </si>
  <si>
    <t>BELLWAY (BWY)</t>
  </si>
  <si>
    <t>BERKELEY GROUP HOLDINGS (BKG)</t>
  </si>
  <si>
    <t>NATION GRID</t>
  </si>
  <si>
    <t>JUST EAT (JE)</t>
  </si>
  <si>
    <t>GREGGS (GRG)</t>
  </si>
  <si>
    <t>RELX</t>
  </si>
  <si>
    <t>BATS</t>
  </si>
  <si>
    <t>Number of stocks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</si>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</sst>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%"/>
    <numFmt numFmtId="165" formatCode="0.00000%"/>
    <numFmt numFmtId="166" formatCode="0.000"/>
    <numFmt numFmtId="167" formatCode="0.000%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0">
    <xf numFmtId="0" fontId="0" fillId="0" borderId="0" xfId="0"/>
    <xf numFmtId="167" fontId="0" fillId="0" borderId="0" xfId="1" applyNumberFormat="1" applyFont="1"/>
    <xf numFmtId="1" fontId="0" fillId="0" borderId="0" xfId="0" applyNumberForma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165" fontId="4" fillId="0" borderId="0" xfId="1" applyNumberFormat="1" applyFont="1"/>
    <xf numFmtId="0" fontId="5" fillId="0" borderId="0" xfId="0" applyFont="1"/>
    <xf numFmtId="165" fontId="4" fillId="0" borderId="0" xfId="0" applyNumberFormat="1" applyFont="1"/>
    <xf numFmtId="164" fontId="4" fillId="0" borderId="0" xfId="1" applyNumberFormat="1" applyFont="1"/>
    <xf numFmtId="0" fontId="4" fillId="0" borderId="0" xfId="0" applyFont="1" applyFill="1"/>
    <xf numFmtId="9" fontId="4" fillId="0" borderId="0" xfId="1" applyFont="1"/>
    <xf numFmtId="0" fontId="6" fillId="0" borderId="0" xfId="0" applyFont="1"/>
    <xf numFmtId="166" fontId="4" fillId="0" borderId="0" xfId="0" applyNumberFormat="1" applyFont="1"/>
    <xf numFmtId="0" fontId="4" fillId="0" borderId="0" xfId="1" applyNumberFormat="1" applyFont="1"/>
    <xf numFmtId="2" fontId="4" fillId="0" borderId="0" xfId="1" applyNumberFormat="1" applyFont="1"/>
    <xf numFmtId="10" fontId="4" fillId="0" borderId="0" xfId="1" applyNumberFormat="1" applyFont="1"/>
    <xf numFmtId="0" fontId="4" fillId="0" borderId="0" xfId="0" applyFont="1" applyBorder="1"/>
    <xf numFmtId="0" fontId="4" fillId="0" borderId="1" xfId="0" applyFont="1" applyBorder="1"/>
    <xf numFmtId="0" fontId="4" fillId="0" borderId="2" xfId="0" applyFont="1" applyBorder="1"/>
    <xf numFmtId="0" fontId="6" fillId="0" borderId="3" xfId="0" applyFont="1" applyBorder="1"/>
    <xf numFmtId="0" fontId="6" fillId="0" borderId="4" xfId="0" applyFont="1" applyBorder="1"/>
    <xf numFmtId="10" fontId="6" fillId="0" borderId="8" xfId="1" applyNumberFormat="1" applyFont="1" applyBorder="1"/>
    <xf numFmtId="0" fontId="6" fillId="0" borderId="1" xfId="0" applyFont="1" applyBorder="1"/>
    <xf numFmtId="0" fontId="6" fillId="0" borderId="8" xfId="0" applyFont="1" applyBorder="1"/>
    <xf numFmtId="0" fontId="6" fillId="0" borderId="0" xfId="0" applyFont="1" applyBorder="1"/>
    <xf numFmtId="0" fontId="6" fillId="0" borderId="1" xfId="1" applyNumberFormat="1" applyFont="1" applyBorder="1"/>
    <xf numFmtId="10" fontId="6" fillId="0" borderId="0" xfId="1" applyNumberFormat="1" applyFont="1"/>
    <xf numFmtId="10" fontId="6" fillId="0" borderId="4" xfId="1" applyNumberFormat="1" applyFont="1" applyBorder="1"/>
    <xf numFmtId="0" fontId="4" fillId="0" borderId="6" xfId="0" applyFont="1" applyBorder="1"/>
    <xf numFmtId="0" fontId="6" fillId="0" borderId="10" xfId="0" applyFont="1" applyBorder="1"/>
    <xf numFmtId="0" fontId="4" fillId="0" borderId="9" xfId="0" applyFont="1" applyBorder="1"/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1" xfId="1" applyNumberFormat="1" applyFont="1" applyBorder="1"/>
    <xf numFmtId="10" fontId="4" fillId="0" borderId="10" xfId="1" applyNumberFormat="1" applyFont="1" applyBorder="1"/>
    <xf numFmtId="0" fontId="6" fillId="0" borderId="2" xfId="0" applyFont="1" applyBorder="1"/>
    <xf numFmtId="167" fontId="1" fillId="0" borderId="0" xfId="1" applyNumberFormat="1" applyFont="1"/>
    <xf numFmtId="0" fontId="1" fillId="0" borderId="0" xfId="0" applyFont="1"/>
    <xf numFmtId="0" fontId="7" fillId="0" borderId="7" xfId="0" applyFont="1" applyBorder="1"/>
    <xf numFmtId="167" fontId="7" fillId="0" borderId="11" xfId="0" applyNumberFormat="1" applyFont="1" applyBorder="1"/>
    <xf numFmtId="0" fontId="7" fillId="0" borderId="11" xfId="0" applyNumberFormat="1" applyFont="1" applyBorder="1"/>
    <xf numFmtId="1" fontId="7" fillId="0" borderId="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CE-4997-9A41-63990302C182}"/>
                </c:ext>
              </c:extLst>
            </c:dLbl>
            <c:dLbl>
              <c:idx val="4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CE-4997-9A41-63990302C182}"/>
                </c:ext>
              </c:extLst>
            </c:dLbl>
            <c:dLbl>
              <c:idx val="49"/>
              <c:layout>
                <c:manualLayout>
                  <c:x val="-6.0849287105089493E-3"/>
                  <c:y val="-1.18537473084575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CE-4997-9A41-63990302C1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Sheet1!$L$106:$L$206</c:f>
              <c:numCache>
                <c:formatCode>General</c:formatCode>
                <c:ptCount val="101"/>
                <c:pt idx="0">
                  <c:v>4.6685770218953652E-9</c:v>
                </c:pt>
                <c:pt idx="1">
                  <c:v>4.5800974394954952E-9</c:v>
                </c:pt>
                <c:pt idx="2">
                  <c:v>4.4917822648700636E-9</c:v>
                </c:pt>
                <c:pt idx="3">
                  <c:v>4.403641389640342E-9</c:v>
                </c:pt>
                <c:pt idx="4">
                  <c:v>4.3156854931667646E-9</c:v>
                </c:pt>
                <c:pt idx="5">
                  <c:v>4.2279261201126537E-9</c:v>
                </c:pt>
                <c:pt idx="6">
                  <c:v>4.1403757670235524E-9</c:v>
                </c:pt>
                <c:pt idx="7">
                  <c:v>4.0530479791146238E-9</c:v>
                </c:pt>
                <c:pt idx="8">
                  <c:v>3.9659574586319831E-9</c:v>
                </c:pt>
                <c:pt idx="9">
                  <c:v>3.8791201863536563E-9</c:v>
                </c:pt>
                <c:pt idx="10">
                  <c:v>3.7925535580263647E-9</c:v>
                </c:pt>
                <c:pt idx="11">
                  <c:v>3.7062765377997228E-9</c:v>
                </c:pt>
                <c:pt idx="12">
                  <c:v>3.6203098310248534E-9</c:v>
                </c:pt>
                <c:pt idx="13">
                  <c:v>3.5346760791351107E-9</c:v>
                </c:pt>
                <c:pt idx="14">
                  <c:v>3.4494000797282063E-9</c:v>
                </c:pt>
                <c:pt idx="15">
                  <c:v>3.3645090354273384E-9</c:v>
                </c:pt>
                <c:pt idx="16">
                  <c:v>3.2800328356191329E-9</c:v>
                </c:pt>
                <c:pt idx="17">
                  <c:v>3.1960043757528595E-9</c:v>
                </c:pt>
                <c:pt idx="18">
                  <c:v>3.1124599195407169E-9</c:v>
                </c:pt>
                <c:pt idx="19">
                  <c:v>3.0294395101219019E-9</c:v>
                </c:pt>
                <c:pt idx="20">
                  <c:v>2.9469874370366947E-9</c:v>
                </c:pt>
                <c:pt idx="21">
                  <c:v>2.8651527666846712E-9</c:v>
                </c:pt>
                <c:pt idx="22">
                  <c:v>2.7839899447831696E-9</c:v>
                </c:pt>
                <c:pt idx="23">
                  <c:v>2.7035594801466842E-9</c:v>
                </c:pt>
                <c:pt idx="24">
                  <c:v>2.6239287197926065E-9</c:v>
                </c:pt>
                <c:pt idx="25">
                  <c:v>2.5451727258161029E-9</c:v>
                </c:pt>
                <c:pt idx="26">
                  <c:v>2.4673752644760226E-9</c:v>
                </c:pt>
                <c:pt idx="27">
                  <c:v>2.3906299172147746E-9</c:v>
                </c:pt>
                <c:pt idx="28">
                  <c:v>2.3150413214974723E-9</c:v>
                </c:pt>
                <c:pt idx="29">
                  <c:v>2.2407265458380797E-9</c:v>
                </c:pt>
                <c:pt idx="30">
                  <c:v>2.1678165974155625E-9</c:v>
                </c:pt>
                <c:pt idx="31">
                  <c:v>2.0964580512525332E-9</c:v>
                </c:pt>
                <c:pt idx="32">
                  <c:v>2.0268147757298883E-9</c:v>
                </c:pt>
                <c:pt idx="33">
                  <c:v>1.9590697086619126E-9</c:v>
                </c:pt>
                <c:pt idx="34">
                  <c:v>1.8934266094836078E-9</c:v>
                </c:pt>
                <c:pt idx="35">
                  <c:v>1.8301116745785644E-9</c:v>
                </c:pt>
                <c:pt idx="36">
                  <c:v>1.769374853212617E-9</c:v>
                </c:pt>
                <c:pt idx="37">
                  <c:v>1.7114906411540288E-9</c:v>
                </c:pt>
                <c:pt idx="38">
                  <c:v>1.6567580608401258E-9</c:v>
                </c:pt>
                <c:pt idx="39">
                  <c:v>1.605499468509375E-9</c:v>
                </c:pt>
                <c:pt idx="40">
                  <c:v>1.5580577744208598E-9</c:v>
                </c:pt>
                <c:pt idx="41">
                  <c:v>1.5147916448498544E-9</c:v>
                </c:pt>
                <c:pt idx="42">
                  <c:v>1.4760683046542317E-9</c:v>
                </c:pt>
                <c:pt idx="43">
                  <c:v>1.4422537108730052E-9</c:v>
                </c:pt>
                <c:pt idx="44">
                  <c:v>1.4137001474405159E-9</c:v>
                </c:pt>
                <c:pt idx="45">
                  <c:v>1.39073169987743E-9</c:v>
                </c:pt>
                <c:pt idx="46">
                  <c:v>1.3736285629815803E-9</c:v>
                </c:pt>
                <c:pt idx="47">
                  <c:v>1.3626116140918375E-9</c:v>
                </c:pt>
                <c:pt idx="48">
                  <c:v>1.3578290048829166E-9</c:v>
                </c:pt>
                <c:pt idx="49">
                  <c:v>1.3593465400584744E-9</c:v>
                </c:pt>
                <c:pt idx="50">
                  <c:v>1.3671432402132578E-9</c:v>
                </c:pt>
                <c:pt idx="51">
                  <c:v>1.3811127674367914E-9</c:v>
                </c:pt>
                <c:pt idx="52">
                  <c:v>1.4010704933433097E-9</c:v>
                </c:pt>
                <c:pt idx="53">
                  <c:v>1.4267651495890502E-9</c:v>
                </c:pt>
                <c:pt idx="54">
                  <c:v>1.457893435979019E-9</c:v>
                </c:pt>
                <c:pt idx="55">
                  <c:v>1.4941157796783362E-9</c:v>
                </c:pt>
                <c:pt idx="56">
                  <c:v>1.5350716170006987E-9</c:v>
                </c:pt>
                <c:pt idx="57">
                  <c:v>1.5803929857420665E-9</c:v>
                </c:pt>
                <c:pt idx="58">
                  <c:v>1.6297157185437448E-9</c:v>
                </c:pt>
                <c:pt idx="59">
                  <c:v>1.6826879897885501E-9</c:v>
                </c:pt>
                <c:pt idx="60">
                  <c:v>1.7389763174100316E-9</c:v>
                </c:pt>
                <c:pt idx="61">
                  <c:v>1.798269336854611E-9</c:v>
                </c:pt>
                <c:pt idx="62">
                  <c:v>1.8602797631147683E-9</c:v>
                </c:pt>
                <c:pt idx="63">
                  <c:v>1.9247449701353682E-9</c:v>
                </c:pt>
                <c:pt idx="64">
                  <c:v>1.9914265783334086E-9</c:v>
                </c:pt>
                <c:pt idx="65">
                  <c:v>2.0601093775691287E-9</c:v>
                </c:pt>
                <c:pt idx="66">
                  <c:v>2.1305998432432273E-9</c:v>
                </c:pt>
                <c:pt idx="67">
                  <c:v>2.2027244381293161E-9</c:v>
                </c:pt>
                <c:pt idx="68">
                  <c:v>2.2763278372107131E-9</c:v>
                </c:pt>
                <c:pt idx="69">
                  <c:v>2.3512711686262266E-9</c:v>
                </c:pt>
                <c:pt idx="70">
                  <c:v>2.4274303302442542E-9</c:v>
                </c:pt>
                <c:pt idx="71">
                  <c:v>2.5046944168482431E-9</c:v>
                </c:pt>
                <c:pt idx="72">
                  <c:v>2.5829642756368195E-9</c:v>
                </c:pt>
                <c:pt idx="73">
                  <c:v>2.6621511960190323E-9</c:v>
                </c:pt>
                <c:pt idx="74">
                  <c:v>2.7421757320673919E-9</c:v>
                </c:pt>
                <c:pt idx="75">
                  <c:v>2.8229666513151282E-9</c:v>
                </c:pt>
                <c:pt idx="76">
                  <c:v>2.9044600009570824E-9</c:v>
                </c:pt>
                <c:pt idx="77">
                  <c:v>2.9865982812735506E-9</c:v>
                </c:pt>
                <c:pt idx="78">
                  <c:v>3.0693297157648086E-9</c:v>
                </c:pt>
                <c:pt idx="79">
                  <c:v>3.152607607722832E-9</c:v>
                </c:pt>
                <c:pt idx="80">
                  <c:v>3.2363897735426018E-9</c:v>
                </c:pt>
                <c:pt idx="81">
                  <c:v>3.3206380438305268E-9</c:v>
                </c:pt>
                <c:pt idx="82">
                  <c:v>3.4053178241982594E-9</c:v>
                </c:pt>
                <c:pt idx="83">
                  <c:v>3.4903977084702471E-9</c:v>
                </c:pt>
                <c:pt idx="84">
                  <c:v>3.5758491378427292E-9</c:v>
                </c:pt>
                <c:pt idx="85">
                  <c:v>3.6616461002875566E-9</c:v>
                </c:pt>
                <c:pt idx="86">
                  <c:v>3.7477648651850866E-9</c:v>
                </c:pt>
                <c:pt idx="87">
                  <c:v>3.8341837487925327E-9</c:v>
                </c:pt>
                <c:pt idx="88">
                  <c:v>3.9208829067083834E-9</c:v>
                </c:pt>
                <c:pt idx="89">
                  <c:v>4.007844149983311E-9</c:v>
                </c:pt>
                <c:pt idx="90">
                  <c:v>4.0950507819582843E-9</c:v>
                </c:pt>
                <c:pt idx="91">
                  <c:v>4.1824874532869921E-9</c:v>
                </c:pt>
                <c:pt idx="92">
                  <c:v>4.2701400329278792E-9</c:v>
                </c:pt>
                <c:pt idx="93">
                  <c:v>4.357995493176623E-9</c:v>
                </c:pt>
                <c:pt idx="94">
                  <c:v>4.4460418070578746E-9</c:v>
                </c:pt>
                <c:pt idx="95">
                  <c:v>4.5342678566103035E-9</c:v>
                </c:pt>
                <c:pt idx="96">
                  <c:v>4.6226633507856244E-9</c:v>
                </c:pt>
                <c:pt idx="97">
                  <c:v>4.7112187518441564E-9</c:v>
                </c:pt>
                <c:pt idx="98">
                  <c:v>4.7999252092697947E-9</c:v>
                </c:pt>
                <c:pt idx="99">
                  <c:v>4.8887745003491017E-9</c:v>
                </c:pt>
                <c:pt idx="100">
                  <c:v>4.9777589766648785E-9</c:v>
                </c:pt>
              </c:numCache>
            </c:numRef>
          </c:xVal>
          <c:yVal>
            <c:numRef>
              <c:f>Sheet1!$M$106:$M$206</c:f>
              <c:numCache>
                <c:formatCode>0.00%</c:formatCode>
                <c:ptCount val="101"/>
                <c:pt idx="0">
                  <c:v>3.0842380911783963E-2</c:v>
                </c:pt>
                <c:pt idx="1">
                  <c:v>3.0618314069618298E-2</c:v>
                </c:pt>
                <c:pt idx="2">
                  <c:v>3.0394247227452618E-2</c:v>
                </c:pt>
                <c:pt idx="3">
                  <c:v>3.0170180385286953E-2</c:v>
                </c:pt>
                <c:pt idx="4">
                  <c:v>2.9946113543121287E-2</c:v>
                </c:pt>
                <c:pt idx="5">
                  <c:v>2.9722046700955615E-2</c:v>
                </c:pt>
                <c:pt idx="6">
                  <c:v>2.9497979858789936E-2</c:v>
                </c:pt>
                <c:pt idx="7">
                  <c:v>2.927391301662427E-2</c:v>
                </c:pt>
                <c:pt idx="8">
                  <c:v>2.9049846174458605E-2</c:v>
                </c:pt>
                <c:pt idx="9">
                  <c:v>2.8825779332292925E-2</c:v>
                </c:pt>
                <c:pt idx="10">
                  <c:v>2.860171249012726E-2</c:v>
                </c:pt>
                <c:pt idx="11">
                  <c:v>2.8377645647961594E-2</c:v>
                </c:pt>
                <c:pt idx="12">
                  <c:v>2.8153578805795929E-2</c:v>
                </c:pt>
                <c:pt idx="13">
                  <c:v>2.7929511963630249E-2</c:v>
                </c:pt>
                <c:pt idx="14">
                  <c:v>2.7705445121464584E-2</c:v>
                </c:pt>
                <c:pt idx="15">
                  <c:v>2.7481378279298911E-2</c:v>
                </c:pt>
                <c:pt idx="16">
                  <c:v>2.7257311437133239E-2</c:v>
                </c:pt>
                <c:pt idx="17">
                  <c:v>2.7033244594967566E-2</c:v>
                </c:pt>
                <c:pt idx="18">
                  <c:v>2.6809177752801901E-2</c:v>
                </c:pt>
                <c:pt idx="19">
                  <c:v>2.6585110910636228E-2</c:v>
                </c:pt>
                <c:pt idx="20">
                  <c:v>2.6361044068470563E-2</c:v>
                </c:pt>
                <c:pt idx="21">
                  <c:v>2.613697722630489E-2</c:v>
                </c:pt>
                <c:pt idx="22">
                  <c:v>2.5912910384139214E-2</c:v>
                </c:pt>
                <c:pt idx="23">
                  <c:v>2.5688843541973549E-2</c:v>
                </c:pt>
                <c:pt idx="24">
                  <c:v>2.5464776699807876E-2</c:v>
                </c:pt>
                <c:pt idx="25">
                  <c:v>2.5240709857642211E-2</c:v>
                </c:pt>
                <c:pt idx="26">
                  <c:v>2.5016643015476538E-2</c:v>
                </c:pt>
                <c:pt idx="27">
                  <c:v>2.4792576173310869E-2</c:v>
                </c:pt>
                <c:pt idx="28">
                  <c:v>2.4568509331145197E-2</c:v>
                </c:pt>
                <c:pt idx="29">
                  <c:v>2.4344442488979528E-2</c:v>
                </c:pt>
                <c:pt idx="30">
                  <c:v>2.4120375646813859E-2</c:v>
                </c:pt>
                <c:pt idx="31">
                  <c:v>2.3896308804648183E-2</c:v>
                </c:pt>
                <c:pt idx="32">
                  <c:v>2.3672241962482514E-2</c:v>
                </c:pt>
                <c:pt idx="33">
                  <c:v>2.3448175120316845E-2</c:v>
                </c:pt>
                <c:pt idx="34">
                  <c:v>2.3224108278151176E-2</c:v>
                </c:pt>
                <c:pt idx="35">
                  <c:v>2.3000041435985497E-2</c:v>
                </c:pt>
                <c:pt idx="36">
                  <c:v>2.2775974593819831E-2</c:v>
                </c:pt>
                <c:pt idx="37">
                  <c:v>2.2551907751654159E-2</c:v>
                </c:pt>
                <c:pt idx="38">
                  <c:v>2.2327840909488486E-2</c:v>
                </c:pt>
                <c:pt idx="39">
                  <c:v>2.2103774067322821E-2</c:v>
                </c:pt>
                <c:pt idx="40">
                  <c:v>2.1879707225157145E-2</c:v>
                </c:pt>
                <c:pt idx="41">
                  <c:v>2.1655640382991476E-2</c:v>
                </c:pt>
                <c:pt idx="42">
                  <c:v>2.1431573540825803E-2</c:v>
                </c:pt>
                <c:pt idx="43">
                  <c:v>2.1207506698660134E-2</c:v>
                </c:pt>
                <c:pt idx="44">
                  <c:v>2.0983439856494462E-2</c:v>
                </c:pt>
                <c:pt idx="45">
                  <c:v>2.0759373014328793E-2</c:v>
                </c:pt>
                <c:pt idx="46">
                  <c:v>2.053530617216312E-2</c:v>
                </c:pt>
                <c:pt idx="47">
                  <c:v>2.0311239329997448E-2</c:v>
                </c:pt>
                <c:pt idx="48">
                  <c:v>2.0087172487831779E-2</c:v>
                </c:pt>
                <c:pt idx="49">
                  <c:v>1.986310564566611E-2</c:v>
                </c:pt>
                <c:pt idx="50">
                  <c:v>1.9639038803500437E-2</c:v>
                </c:pt>
                <c:pt idx="51">
                  <c:v>1.9414971961334768E-2</c:v>
                </c:pt>
                <c:pt idx="52">
                  <c:v>1.9190905119169096E-2</c:v>
                </c:pt>
                <c:pt idx="53">
                  <c:v>1.8966838277003423E-2</c:v>
                </c:pt>
                <c:pt idx="54">
                  <c:v>1.8742771434837754E-2</c:v>
                </c:pt>
                <c:pt idx="55">
                  <c:v>1.8518704592672085E-2</c:v>
                </c:pt>
                <c:pt idx="56">
                  <c:v>1.8294637750506413E-2</c:v>
                </c:pt>
                <c:pt idx="57">
                  <c:v>1.8070570908340741E-2</c:v>
                </c:pt>
                <c:pt idx="58">
                  <c:v>1.7846504066175072E-2</c:v>
                </c:pt>
                <c:pt idx="59">
                  <c:v>1.7622437224009403E-2</c:v>
                </c:pt>
                <c:pt idx="60">
                  <c:v>1.7398370381843734E-2</c:v>
                </c:pt>
                <c:pt idx="61">
                  <c:v>1.7174303539678058E-2</c:v>
                </c:pt>
                <c:pt idx="62">
                  <c:v>1.6950236697512389E-2</c:v>
                </c:pt>
                <c:pt idx="63">
                  <c:v>1.672616985534672E-2</c:v>
                </c:pt>
                <c:pt idx="64">
                  <c:v>1.6502103013181044E-2</c:v>
                </c:pt>
                <c:pt idx="65">
                  <c:v>1.6278036171015375E-2</c:v>
                </c:pt>
                <c:pt idx="66">
                  <c:v>1.6053969328849706E-2</c:v>
                </c:pt>
                <c:pt idx="67">
                  <c:v>1.5829902486684033E-2</c:v>
                </c:pt>
                <c:pt idx="68">
                  <c:v>1.5605835644518364E-2</c:v>
                </c:pt>
                <c:pt idx="69">
                  <c:v>1.5381768802352692E-2</c:v>
                </c:pt>
                <c:pt idx="70">
                  <c:v>1.5157701960187023E-2</c:v>
                </c:pt>
                <c:pt idx="71">
                  <c:v>1.493363511802135E-2</c:v>
                </c:pt>
                <c:pt idx="72">
                  <c:v>1.4709568275855674E-2</c:v>
                </c:pt>
                <c:pt idx="73">
                  <c:v>1.4485501433690016E-2</c:v>
                </c:pt>
                <c:pt idx="74">
                  <c:v>1.4261434591524333E-2</c:v>
                </c:pt>
                <c:pt idx="75">
                  <c:v>1.403736774935866E-2</c:v>
                </c:pt>
                <c:pt idx="76">
                  <c:v>1.3813300907192991E-2</c:v>
                </c:pt>
                <c:pt idx="77">
                  <c:v>1.3589234065027326E-2</c:v>
                </c:pt>
                <c:pt idx="78">
                  <c:v>1.336516722286165E-2</c:v>
                </c:pt>
                <c:pt idx="79">
                  <c:v>1.3141100380695978E-2</c:v>
                </c:pt>
                <c:pt idx="80">
                  <c:v>1.2917033538530312E-2</c:v>
                </c:pt>
                <c:pt idx="81">
                  <c:v>1.269296669636464E-2</c:v>
                </c:pt>
                <c:pt idx="82">
                  <c:v>1.2468899854198967E-2</c:v>
                </c:pt>
                <c:pt idx="83">
                  <c:v>1.2244833012033295E-2</c:v>
                </c:pt>
                <c:pt idx="84">
                  <c:v>1.2020766169867629E-2</c:v>
                </c:pt>
                <c:pt idx="85">
                  <c:v>1.1796699327701957E-2</c:v>
                </c:pt>
                <c:pt idx="86">
                  <c:v>1.1572632485536284E-2</c:v>
                </c:pt>
                <c:pt idx="87">
                  <c:v>1.1348565643370619E-2</c:v>
                </c:pt>
                <c:pt idx="88">
                  <c:v>1.1124498801204946E-2</c:v>
                </c:pt>
                <c:pt idx="89">
                  <c:v>1.0900431959039281E-2</c:v>
                </c:pt>
                <c:pt idx="90">
                  <c:v>1.0676365116873608E-2</c:v>
                </c:pt>
                <c:pt idx="91">
                  <c:v>1.0452298274707936E-2</c:v>
                </c:pt>
                <c:pt idx="92">
                  <c:v>1.0228231432542263E-2</c:v>
                </c:pt>
                <c:pt idx="93">
                  <c:v>1.0004164590376591E-2</c:v>
                </c:pt>
                <c:pt idx="94">
                  <c:v>9.7800977482109253E-3</c:v>
                </c:pt>
                <c:pt idx="95">
                  <c:v>9.5560309060452528E-3</c:v>
                </c:pt>
                <c:pt idx="96">
                  <c:v>9.3319640638795873E-3</c:v>
                </c:pt>
                <c:pt idx="97">
                  <c:v>9.1078972217139148E-3</c:v>
                </c:pt>
                <c:pt idx="98">
                  <c:v>8.8838303795482423E-3</c:v>
                </c:pt>
                <c:pt idx="99">
                  <c:v>8.6597635373825768E-3</c:v>
                </c:pt>
                <c:pt idx="100">
                  <c:v>8.4356966952169044E-3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BE-4AC2-874F-C555E5623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806751"/>
        <c:axId val="561071055"/>
      </c:scatterChart>
      <c:valAx>
        <c:axId val="94880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RISK </a:t>
                </a:r>
              </a:p>
            </c:rich>
          </c:tx>
          <c:layout>
            <c:manualLayout>
              <c:xMode val="edge"/>
              <c:yMode val="edge"/>
              <c:x val="0.43970752047948108"/>
              <c:y val="0.87003883901676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1055"/>
        <c:crosses val="autoZero"/>
        <c:crossBetween val="midCat"/>
      </c:valAx>
      <c:valAx>
        <c:axId val="56107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RETURN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806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204107</xdr:colOff>
      <xdr:row>105</xdr:row>
      <xdr:rowOff>7256</xdr:rowOff>
    </xdr:from>
    <xdr:to>
      <xdr:col>19</xdr:col>
      <xdr:colOff>802821</xdr:colOff>
      <xdr:row>129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FCCEEA-43CA-413C-A072-EFF0834B7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0.09743</cdr:x>
      <cdr:y>0.09611</cdr:y>
    </cdr:from>
    <cdr:to>
      <cdr:x>0.70423</cdr:x>
      <cdr:y>0.5491</cdr:y>
    </cdr:to>
    <cdr:cxnSp macro="">
      <cdr:nvCxnSpPr>
        <cdr:cNvPr id="14" name="Straight Connector 13" descr="C">
          <a:extLst xmlns:a="http://schemas.openxmlformats.org/drawingml/2006/main">
            <a:ext uri="{FF2B5EF4-FFF2-40B4-BE49-F238E27FC236}">
              <a16:creationId xmlns:a16="http://schemas.microsoft.com/office/drawing/2014/main" id="{A9739FC3-EF2B-4828-A422-7630F4E46E5A}"/>
            </a:ext>
          </a:extLst>
        </cdr:cNvPr>
        <cdr:cNvCxnSpPr>
          <a:cxnSpLocks xmlns:a="http://schemas.openxmlformats.org/drawingml/2006/main" noChangeAspect="1"/>
        </cdr:cNvCxnSpPr>
      </cdr:nvCxnSpPr>
      <cdr:spPr>
        <a:xfrm xmlns:a="http://schemas.openxmlformats.org/drawingml/2006/main" flipH="1">
          <a:off x="750888" y="565572"/>
          <a:ext cx="4676434" cy="266567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0.59038</cdr:x>
      <cdr:y>0.06081</cdr:y>
    </cdr:from>
    <cdr:to>
      <cdr:x>0.68491</cdr:x>
      <cdr:y>0.11584</cdr:y>
    </cdr:to>
    <cdr:sp macro="" textlink="">
      <cdr:nvSpPr>
        <cdr:cNvPr id="17" name="TextBox 16">
          <a:extLst xmlns:a="http://schemas.openxmlformats.org/drawingml/2006/main">
            <a:ext uri="{FF2B5EF4-FFF2-40B4-BE49-F238E27FC236}">
              <a16:creationId xmlns:a16="http://schemas.microsoft.com/office/drawing/2014/main" id="{C2424262-C81A-4999-B98D-1A296146ABA9}"/>
            </a:ext>
          </a:extLst>
        </cdr:cNvPr>
        <cdr:cNvSpPr txBox="1"/>
      </cdr:nvSpPr>
      <cdr:spPr>
        <a:xfrm xmlns:a="http://schemas.openxmlformats.org/drawingml/2006/main">
          <a:off x="4749069" y="357869"/>
          <a:ext cx="760408" cy="3238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2000"/>
            <a:t>CAL</a:t>
          </a:r>
          <a:endParaRPr lang="en-GB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DDE69-4424-4C07-9597-36FC8FE850DD}">
  <dimension ref="A1:W224"/>
  <sheetViews>
    <sheetView topLeftCell="A58" zoomScale="80" zoomScaleNormal="80" workbookViewId="0">
      <selection activeCell="G97" sqref="G97"/>
    </sheetView>
  </sheetViews>
  <sheetFormatPr defaultColWidth="9" defaultRowHeight="18.75"/>
  <cols>
    <col min="1" max="1" width="24.5703125" style="4" bestFit="1" customWidth="1"/>
    <col min="2" max="2" width="27.7109375" style="4" bestFit="1" customWidth="1"/>
    <col min="3" max="4" width="18.28515625" style="4" customWidth="1"/>
    <col min="5" max="5" width="20.140625" style="4" bestFit="1" customWidth="1"/>
    <col min="6" max="6" width="20.5703125" style="4" bestFit="1" customWidth="1"/>
    <col min="7" max="7" width="18.28515625" style="4" customWidth="1"/>
    <col min="8" max="8" width="16.85546875" style="4" bestFit="1" customWidth="1"/>
    <col min="9" max="10" width="18.28515625" style="4" bestFit="1" customWidth="1"/>
    <col min="11" max="11" width="20" style="4" bestFit="1" customWidth="1"/>
    <col min="12" max="14" width="18.28515625" style="4" bestFit="1" customWidth="1"/>
    <col min="15" max="15" width="18.140625" style="4" bestFit="1" customWidth="1"/>
    <col min="16" max="16" width="21.42578125" style="4" bestFit="1" customWidth="1"/>
    <col min="17" max="17" width="11.85546875" style="4" bestFit="1" customWidth="1"/>
    <col min="18" max="18" width="16.85546875" style="4" bestFit="1" customWidth="1"/>
    <col min="19" max="21" width="12.42578125" style="4" bestFit="1" customWidth="1"/>
    <col min="22" max="23" width="9" style="4"/>
    <col min="24" max="24" width="49.5703125" style="4" bestFit="1" customWidth="1"/>
    <col min="25" max="16384" width="9" style="4"/>
  </cols>
  <sheetData>
    <row r="1" spans="1:16" ht="56.25">
      <c r="A1" s="3" t="s">
        <v>0</v>
      </c>
      <c r="B1" s="40" t="s">
        <v>37</v>
      </c>
      <c r="C1" s="40" t="s">
        <v>2</v>
      </c>
      <c r="D1" s="40" t="s">
        <v>38</v>
      </c>
      <c r="E1" s="40" t="s">
        <v>4</v>
      </c>
      <c r="F1" s="40" t="s">
        <v>46</v>
      </c>
      <c r="G1" s="40" t="s">
        <v>47</v>
      </c>
      <c r="H1" s="40" t="s">
        <v>6</v>
      </c>
      <c r="I1" s="40" t="s">
        <v>48</v>
      </c>
      <c r="J1" s="40" t="s">
        <v>39</v>
      </c>
      <c r="K1" s="40" t="s">
        <v>9</v>
      </c>
      <c r="L1" s="40" t="s">
        <v>52</v>
      </c>
      <c r="M1" s="40" t="s">
        <v>53</v>
      </c>
      <c r="N1" s="40" t="s">
        <v>12</v>
      </c>
      <c r="O1" s="40" t="s">
        <v>49</v>
      </c>
      <c r="P1" s="40" t="s">
        <v>50</v>
      </c>
    </row>
    <row r="2" spans="1:16">
      <c r="A2" s="5">
        <v>43496</v>
      </c>
      <c r="B2" s="6">
        <v>-5.8062319087348803E-2</v>
      </c>
      <c r="C2" s="6">
        <v>9.92184845395854E-2</v>
      </c>
      <c r="D2" s="6">
        <v>0.326834862385321</v>
      </c>
      <c r="E2" s="6">
        <v>0.124793388429752</v>
      </c>
      <c r="F2" s="6">
        <v>7.4800000000000005E-2</v>
      </c>
      <c r="G2" s="6">
        <v>9.0745732255166203E-2</v>
      </c>
      <c r="H2" s="6">
        <v>0.17359284587059401</v>
      </c>
      <c r="I2" s="6">
        <v>0.100798678050124</v>
      </c>
      <c r="J2" s="6">
        <v>4.3343260883340701E-2</v>
      </c>
      <c r="K2" s="6">
        <v>7.9822036116199896E-2</v>
      </c>
      <c r="L2" s="6">
        <v>0.18643490115882699</v>
      </c>
      <c r="M2" s="6">
        <v>0.224379454411403</v>
      </c>
      <c r="N2" s="6">
        <v>0.143891402714932</v>
      </c>
      <c r="O2" s="6">
        <v>0.12801066755563001</v>
      </c>
      <c r="P2" s="6">
        <v>7.8734469806414395E-2</v>
      </c>
    </row>
    <row r="3" spans="1:16">
      <c r="A3" s="5">
        <v>43524</v>
      </c>
      <c r="B3" s="6">
        <v>0.10972523499638499</v>
      </c>
      <c r="C3" s="6">
        <v>2.16383307573416E-2</v>
      </c>
      <c r="D3" s="6">
        <v>6.2662057044079299E-3</v>
      </c>
      <c r="E3" s="6">
        <v>0.105804555473916</v>
      </c>
      <c r="F3" s="6">
        <v>2.66096017863789E-2</v>
      </c>
      <c r="G3" s="6">
        <v>8.0724876441515603E-2</v>
      </c>
      <c r="H3" s="6">
        <v>1.2998655311519501E-2</v>
      </c>
      <c r="I3" s="6">
        <v>1.02576932699525E-2</v>
      </c>
      <c r="J3" s="6">
        <v>2.5204980261160002E-2</v>
      </c>
      <c r="K3" s="6">
        <v>2.7508482792050301E-2</v>
      </c>
      <c r="L3" s="6">
        <v>7.2105716748061002E-2</v>
      </c>
      <c r="M3" s="6">
        <v>0.15482403318613699</v>
      </c>
      <c r="N3" s="6">
        <v>-2.8876582278481E-2</v>
      </c>
      <c r="O3" s="6">
        <v>6.6272626523827094E-2</v>
      </c>
      <c r="P3" s="6">
        <v>5.2497656354626998E-2</v>
      </c>
    </row>
    <row r="4" spans="1:16">
      <c r="A4" s="5">
        <v>43555</v>
      </c>
      <c r="B4" s="6">
        <v>-6.5157191725035302E-4</v>
      </c>
      <c r="C4" s="6">
        <v>1.8759455370650501E-2</v>
      </c>
      <c r="D4" s="6">
        <v>7.9235559372986805E-2</v>
      </c>
      <c r="E4" s="6">
        <v>7.1760797342192595E-2</v>
      </c>
      <c r="F4" s="6">
        <v>0.15787565705999601</v>
      </c>
      <c r="G4" s="6">
        <v>-1.5243902439024399E-3</v>
      </c>
      <c r="H4" s="6">
        <v>2.6991150442478001E-2</v>
      </c>
      <c r="I4" s="6">
        <v>-2.1297672114908399E-2</v>
      </c>
      <c r="J4" s="6">
        <v>-5.0651658767772501E-2</v>
      </c>
      <c r="K4" s="6">
        <v>3.4202146479537401E-3</v>
      </c>
      <c r="L4" s="6">
        <v>6.1629153269023799E-3</v>
      </c>
      <c r="M4" s="6">
        <v>2.73464658169176E-2</v>
      </c>
      <c r="N4" s="6">
        <v>-8.9613034623217902E-2</v>
      </c>
      <c r="O4" s="6">
        <v>6.6172394678491904E-3</v>
      </c>
      <c r="P4" s="6">
        <v>-6.6064384781779006E-2</v>
      </c>
    </row>
    <row r="5" spans="1:16">
      <c r="A5" s="5">
        <v>43585</v>
      </c>
      <c r="B5" s="6">
        <v>-6.6666666666666693E-2</v>
      </c>
      <c r="C5" s="6">
        <v>7.4250074250074303E-3</v>
      </c>
      <c r="D5" s="6">
        <v>0.25228810187027501</v>
      </c>
      <c r="E5" s="6">
        <v>3.6577805331680098E-2</v>
      </c>
      <c r="F5" s="6">
        <v>-6.3869755792110294E-2</v>
      </c>
      <c r="G5" s="6">
        <v>4.4274809160305302E-2</v>
      </c>
      <c r="H5" s="6">
        <v>7.6260232658336896E-2</v>
      </c>
      <c r="I5" s="6">
        <v>3.0364372469635598E-2</v>
      </c>
      <c r="J5" s="6">
        <v>7.1638065522620906E-2</v>
      </c>
      <c r="K5" s="6">
        <v>-1.7277856135401899E-2</v>
      </c>
      <c r="L5" s="6">
        <v>-6.92410119840213E-2</v>
      </c>
      <c r="M5" s="6">
        <v>-9.4180013534851097E-3</v>
      </c>
      <c r="N5" s="6">
        <v>4.1163310961968701E-2</v>
      </c>
      <c r="O5" s="6">
        <v>2.1992772328342802E-2</v>
      </c>
      <c r="P5" s="6">
        <v>1.8147633450502802E-2</v>
      </c>
    </row>
    <row r="6" spans="1:16">
      <c r="A6" s="5">
        <v>43616</v>
      </c>
      <c r="B6" s="6">
        <v>1.8686692280824299E-2</v>
      </c>
      <c r="C6" s="6">
        <v>2.83018867924529E-2</v>
      </c>
      <c r="D6" s="6">
        <v>-2.00190657769303E-2</v>
      </c>
      <c r="E6" s="6">
        <v>0.105263157894737</v>
      </c>
      <c r="F6" s="6">
        <v>-7.6923076923076802E-2</v>
      </c>
      <c r="G6" s="6">
        <v>-2.7046783625731E-2</v>
      </c>
      <c r="H6" s="6">
        <v>-9.3674939951961605E-2</v>
      </c>
      <c r="I6" s="6">
        <v>-2.2593320235756401E-2</v>
      </c>
      <c r="J6" s="6">
        <v>6.5451580970127696E-2</v>
      </c>
      <c r="K6" s="6">
        <v>-5.1788063628752601E-2</v>
      </c>
      <c r="L6" s="6">
        <v>-0.138769670958512</v>
      </c>
      <c r="M6" s="6">
        <v>0.20979220039852001</v>
      </c>
      <c r="N6" s="6">
        <v>-0.25122475290073099</v>
      </c>
      <c r="O6" s="6">
        <v>-0.103488920320604</v>
      </c>
      <c r="P6" s="6">
        <v>-6.9209152950622202E-2</v>
      </c>
    </row>
    <row r="7" spans="1:16">
      <c r="A7" s="5">
        <v>43646</v>
      </c>
      <c r="B7" s="6">
        <v>0.103720212583576</v>
      </c>
      <c r="C7" s="6">
        <v>4.67316513761468E-2</v>
      </c>
      <c r="D7" s="6">
        <v>-4.9286640726329503E-2</v>
      </c>
      <c r="E7" s="6">
        <v>9.3614718614718706E-2</v>
      </c>
      <c r="F7" s="6">
        <v>-3.9855072463769198E-3</v>
      </c>
      <c r="G7" s="6">
        <v>7.2877535687453004E-2</v>
      </c>
      <c r="H7" s="6">
        <v>1.3250883392224701E-3</v>
      </c>
      <c r="I7" s="6">
        <v>2.9145728643216101E-2</v>
      </c>
      <c r="J7" s="6">
        <v>3.6344755970924097E-2</v>
      </c>
      <c r="K7" s="6">
        <v>5.4238143289606501E-2</v>
      </c>
      <c r="L7" s="6">
        <v>3.8205980066445301E-2</v>
      </c>
      <c r="M7" s="6">
        <v>5.7035294117646997E-2</v>
      </c>
      <c r="N7" s="6">
        <v>9.4123048668503198E-2</v>
      </c>
      <c r="O7" s="6">
        <v>1.6077532774877001E-2</v>
      </c>
      <c r="P7" s="6">
        <v>6.7224474539233303E-2</v>
      </c>
    </row>
    <row r="8" spans="1:16">
      <c r="A8" s="5">
        <v>43677</v>
      </c>
      <c r="B8" s="6">
        <v>9.6769182976079601E-2</v>
      </c>
      <c r="C8" s="6">
        <v>4.6562585592988197E-2</v>
      </c>
      <c r="D8" s="6">
        <v>0.108117326057299</v>
      </c>
      <c r="E8" s="6">
        <v>-1.2370113805047E-2</v>
      </c>
      <c r="F8" s="6">
        <v>7.3845034558021105E-2</v>
      </c>
      <c r="G8" s="6">
        <v>7.2128851540616296E-2</v>
      </c>
      <c r="H8" s="6">
        <v>-1.49977944419937E-2</v>
      </c>
      <c r="I8" s="6">
        <v>-1.611328125E-2</v>
      </c>
      <c r="J8" s="6">
        <v>2.3046092184368799E-2</v>
      </c>
      <c r="K8" s="6">
        <v>1.01698971045705E-2</v>
      </c>
      <c r="L8" s="6">
        <v>0.21823999999999999</v>
      </c>
      <c r="M8" s="6">
        <v>-2.6978897693882901E-2</v>
      </c>
      <c r="N8" s="6">
        <v>1.13302559798573E-2</v>
      </c>
      <c r="O8" s="6">
        <v>6.6398018411031795E-2</v>
      </c>
      <c r="P8" s="6">
        <v>3.9388959237007401E-2</v>
      </c>
    </row>
    <row r="9" spans="1:16">
      <c r="A9" s="5">
        <v>43708</v>
      </c>
      <c r="B9" s="6">
        <v>3.6397110890808798E-2</v>
      </c>
      <c r="C9" s="6">
        <v>2.7218005757655001E-2</v>
      </c>
      <c r="D9" s="6">
        <v>-5.0477069867651603E-2</v>
      </c>
      <c r="E9" s="6">
        <v>-7.31462925851704E-2</v>
      </c>
      <c r="F9" s="6">
        <v>-2.4390243902439001E-2</v>
      </c>
      <c r="G9" s="6">
        <v>3.1352057478771997E-2</v>
      </c>
      <c r="H9" s="6">
        <v>-1.8360949395432102E-2</v>
      </c>
      <c r="I9" s="6">
        <v>2.7791563275434202E-2</v>
      </c>
      <c r="J9" s="6">
        <v>1.3712047012732501E-2</v>
      </c>
      <c r="K9" s="6">
        <v>1.68186663508232E-2</v>
      </c>
      <c r="L9" s="6">
        <v>3.2046230627790898E-2</v>
      </c>
      <c r="M9" s="6">
        <v>-5.4584553440702802E-2</v>
      </c>
      <c r="N9" s="6">
        <v>-6.2240663900417297E-4</v>
      </c>
      <c r="O9" s="6">
        <v>-2.3227595770497399E-2</v>
      </c>
      <c r="P9" s="6">
        <v>1.5319215117032599E-2</v>
      </c>
    </row>
    <row r="10" spans="1:16">
      <c r="A10" s="5">
        <v>43738</v>
      </c>
      <c r="B10" s="6">
        <v>-7.7890133916371602E-3</v>
      </c>
      <c r="C10" s="6">
        <v>3.2866242038216503E-2</v>
      </c>
      <c r="D10" s="6">
        <v>0.21782820097244701</v>
      </c>
      <c r="E10" s="6">
        <v>0</v>
      </c>
      <c r="F10" s="6">
        <v>4.4270833333333301E-2</v>
      </c>
      <c r="G10" s="6">
        <v>-1.8366054464851199E-2</v>
      </c>
      <c r="H10" s="6">
        <v>9.9452554744525495E-2</v>
      </c>
      <c r="I10" s="6">
        <v>4.5388701110574602E-2</v>
      </c>
      <c r="J10" s="6">
        <v>-1.7289600813628299E-2</v>
      </c>
      <c r="K10" s="6">
        <v>2.7256843331391899E-2</v>
      </c>
      <c r="L10" s="6">
        <v>-0.14965640111987799</v>
      </c>
      <c r="M10" s="6">
        <v>1.1469776895900801E-2</v>
      </c>
      <c r="N10" s="6">
        <v>0.193689018061034</v>
      </c>
      <c r="O10" s="6">
        <v>0.15339840283939701</v>
      </c>
      <c r="P10" s="6">
        <v>6.6887924431963203E-2</v>
      </c>
    </row>
    <row r="11" spans="1:16">
      <c r="A11" s="5">
        <v>43769</v>
      </c>
      <c r="B11" s="6">
        <v>3.3053298443740602E-2</v>
      </c>
      <c r="C11" s="6">
        <v>4.1193882585101302E-2</v>
      </c>
      <c r="D11" s="6">
        <v>2.2624434389140299E-2</v>
      </c>
      <c r="E11" s="6">
        <v>0.13027027027026999</v>
      </c>
      <c r="F11" s="6">
        <v>-0.101579384871155</v>
      </c>
      <c r="G11" s="6">
        <v>-5.6129032258064503E-2</v>
      </c>
      <c r="H11" s="6">
        <v>-2.4066390041493899E-2</v>
      </c>
      <c r="I11" s="6">
        <v>4.1570438799076202E-2</v>
      </c>
      <c r="J11" s="6">
        <v>-3.8551099611901701E-2</v>
      </c>
      <c r="K11" s="6">
        <v>2.1997958952262101E-2</v>
      </c>
      <c r="L11" s="6">
        <v>9.9970068841664095E-2</v>
      </c>
      <c r="M11" s="6">
        <v>-0.15023923444976101</v>
      </c>
      <c r="N11" s="6">
        <v>7.6521739130434793E-2</v>
      </c>
      <c r="O11" s="6">
        <v>-5.55743607102194E-2</v>
      </c>
      <c r="P11" s="6">
        <v>5.3122756640344597E-2</v>
      </c>
    </row>
    <row r="12" spans="1:16">
      <c r="A12" s="5">
        <v>43799</v>
      </c>
      <c r="B12" s="6">
        <v>-5.7325689908013198E-3</v>
      </c>
      <c r="C12" s="6">
        <v>5.8990760483297697E-2</v>
      </c>
      <c r="D12" s="6">
        <v>-1.01509630400833E-2</v>
      </c>
      <c r="E12" s="6">
        <v>8.9909134385461401E-2</v>
      </c>
      <c r="F12" s="6">
        <v>0.13249444855662501</v>
      </c>
      <c r="G12" s="6">
        <v>9.43267259056733E-2</v>
      </c>
      <c r="H12" s="6">
        <v>-2.46598639455782E-2</v>
      </c>
      <c r="I12" s="6">
        <v>-5.3215077605321499E-3</v>
      </c>
      <c r="J12" s="6">
        <v>8.0731969860065693E-3</v>
      </c>
      <c r="K12" s="6">
        <v>-1.28702984577831E-2</v>
      </c>
      <c r="L12" s="6">
        <v>4.0272108843537401E-2</v>
      </c>
      <c r="M12" s="6">
        <v>0.17229729729729701</v>
      </c>
      <c r="N12" s="6">
        <v>8.0775444264943499E-2</v>
      </c>
      <c r="O12" s="6">
        <v>8.7941090221889201E-2</v>
      </c>
      <c r="P12" s="6">
        <v>4.2035900931606501E-2</v>
      </c>
    </row>
    <row r="13" spans="1:16">
      <c r="A13" s="5">
        <v>43830</v>
      </c>
      <c r="B13" s="6">
        <v>1.9978546527219001E-2</v>
      </c>
      <c r="C13" s="6">
        <v>3.57941834451907E-3</v>
      </c>
      <c r="D13" s="6">
        <v>0.10097291611885401</v>
      </c>
      <c r="E13" s="6">
        <v>2.1500658183413901E-2</v>
      </c>
      <c r="F13" s="6">
        <v>5.6045751633986798E-2</v>
      </c>
      <c r="G13" s="6">
        <v>3.8725796377264199E-2</v>
      </c>
      <c r="H13" s="6">
        <v>0.11246730601569301</v>
      </c>
      <c r="I13" s="6">
        <v>0.121266161390994</v>
      </c>
      <c r="J13" s="6">
        <v>1.7351841964762402E-2</v>
      </c>
      <c r="K13" s="6">
        <v>6.1369000786782001E-2</v>
      </c>
      <c r="L13" s="6">
        <v>9.1812712529427298E-2</v>
      </c>
      <c r="M13" s="6">
        <v>0.103746397694524</v>
      </c>
      <c r="N13" s="6">
        <v>6.4648729446935699E-2</v>
      </c>
      <c r="O13" s="6">
        <v>0.140161725067385</v>
      </c>
      <c r="P13" s="6">
        <v>5.9529001308329797E-2</v>
      </c>
    </row>
    <row r="16" spans="1:16">
      <c r="A16" s="7" t="s">
        <v>15</v>
      </c>
      <c r="B16" s="8">
        <v>2.3285678220410701E-2</v>
      </c>
      <c r="C16" s="8">
        <v>3.6040475921913499E-2</v>
      </c>
      <c r="D16" s="8">
        <v>8.2019488954978001E-2</v>
      </c>
      <c r="E16" s="8">
        <v>5.7831506627993703E-2</v>
      </c>
      <c r="F16" s="8">
        <v>2.4599446516098598E-2</v>
      </c>
      <c r="G16" s="8">
        <v>3.5174177021184701E-2</v>
      </c>
      <c r="H16" s="8">
        <v>2.72773246338259E-2</v>
      </c>
      <c r="I16" s="8">
        <v>2.84381296373175E-2</v>
      </c>
      <c r="J16" s="8">
        <v>1.6472788546895101E-2</v>
      </c>
      <c r="K16" s="8">
        <v>1.8388752095808501E-2</v>
      </c>
      <c r="L16" s="8">
        <v>3.5631962506687001E-2</v>
      </c>
      <c r="M16" s="8">
        <v>5.9972519406709598E-2</v>
      </c>
      <c r="N16" s="8">
        <v>2.7983847732264599E-2</v>
      </c>
      <c r="O16" s="8">
        <v>4.2048266532409E-2</v>
      </c>
      <c r="P16" s="8">
        <v>2.9801204507055E-2</v>
      </c>
    </row>
    <row r="17" spans="1:17">
      <c r="A17" s="12" t="s">
        <v>16</v>
      </c>
      <c r="B17" s="6">
        <f>12*B16</f>
        <v>0.27942813864492844</v>
      </c>
      <c r="C17" s="6">
        <f t="shared" ref="C17:P17" si="0">12*C16</f>
        <v>0.43248571106296196</v>
      </c>
      <c r="D17" s="6">
        <f t="shared" si="0"/>
        <v>0.98423386745973596</v>
      </c>
      <c r="E17" s="6">
        <f t="shared" si="0"/>
        <v>0.6939780795359245</v>
      </c>
      <c r="F17" s="6">
        <f t="shared" si="0"/>
        <v>0.29519335819318315</v>
      </c>
      <c r="G17" s="6">
        <f t="shared" si="0"/>
        <v>0.42209012425421644</v>
      </c>
      <c r="H17" s="6">
        <f t="shared" si="0"/>
        <v>0.3273278956059108</v>
      </c>
      <c r="I17" s="6">
        <f t="shared" si="0"/>
        <v>0.34125755564781002</v>
      </c>
      <c r="J17" s="6">
        <f t="shared" si="0"/>
        <v>0.19767346256274121</v>
      </c>
      <c r="K17" s="6">
        <f t="shared" si="0"/>
        <v>0.22066502514970202</v>
      </c>
      <c r="L17" s="6">
        <f t="shared" si="0"/>
        <v>0.42758355008024401</v>
      </c>
      <c r="M17" s="6">
        <f t="shared" si="0"/>
        <v>0.71967023288051513</v>
      </c>
      <c r="N17" s="6">
        <f t="shared" si="0"/>
        <v>0.33580617278717517</v>
      </c>
      <c r="O17" s="6">
        <f t="shared" si="0"/>
        <v>0.50457919838890797</v>
      </c>
      <c r="P17" s="6">
        <f t="shared" si="0"/>
        <v>0.35761445408465997</v>
      </c>
    </row>
    <row r="18" spans="1:17">
      <c r="A18" s="7" t="s">
        <v>17</v>
      </c>
      <c r="B18" s="6">
        <f>STDEVA(B2:B13)</f>
        <v>5.7785141782487136E-2</v>
      </c>
      <c r="C18" s="6">
        <f>STDEVA(C2:C13)</f>
        <v>2.5754378646852202E-2</v>
      </c>
      <c r="D18" s="6">
        <f t="shared" ref="D18:P18" si="1">STDEVA(D2:D13)</f>
        <v>0.12482288642602504</v>
      </c>
      <c r="E18" s="6">
        <f t="shared" si="1"/>
        <v>6.3235106458402107E-2</v>
      </c>
      <c r="F18" s="6">
        <f t="shared" si="1"/>
        <v>8.1464318415940512E-2</v>
      </c>
      <c r="G18" s="6">
        <f t="shared" si="1"/>
        <v>5.0434826108439114E-2</v>
      </c>
      <c r="H18" s="6">
        <f t="shared" si="1"/>
        <v>7.4458512741564273E-2</v>
      </c>
      <c r="I18" s="6">
        <f t="shared" si="1"/>
        <v>4.5577535801187376E-2</v>
      </c>
      <c r="J18" s="6">
        <f t="shared" si="1"/>
        <v>3.7453817568063645E-2</v>
      </c>
      <c r="K18" s="6">
        <f t="shared" si="1"/>
        <v>3.6368643369244641E-2</v>
      </c>
      <c r="L18" s="6">
        <f t="shared" si="1"/>
        <v>0.11336534342161769</v>
      </c>
      <c r="M18" s="6">
        <f t="shared" si="1"/>
        <v>0.11525422307670588</v>
      </c>
      <c r="N18" s="6">
        <f t="shared" si="1"/>
        <v>0.11601069224226927</v>
      </c>
      <c r="O18" s="6">
        <f t="shared" si="1"/>
        <v>7.9775119803019851E-2</v>
      </c>
      <c r="P18" s="6">
        <f t="shared" si="1"/>
        <v>4.926142200416625E-2</v>
      </c>
      <c r="Q18" s="6"/>
    </row>
    <row r="19" spans="1:17">
      <c r="A19" s="12" t="s">
        <v>18</v>
      </c>
      <c r="B19" s="6">
        <f>12^0.5*B18</f>
        <v>0.20017360297967782</v>
      </c>
      <c r="C19" s="6">
        <f t="shared" ref="C19:P19" si="2">12^0.5*C18</f>
        <v>8.9215784667430006E-2</v>
      </c>
      <c r="D19" s="6">
        <f t="shared" si="2"/>
        <v>0.43239916247454985</v>
      </c>
      <c r="E19" s="6">
        <f t="shared" si="2"/>
        <v>0.21905283441595857</v>
      </c>
      <c r="F19" s="6">
        <f t="shared" si="2"/>
        <v>0.28220067700075585</v>
      </c>
      <c r="G19" s="6">
        <f t="shared" si="2"/>
        <v>0.17471136258143571</v>
      </c>
      <c r="H19" s="6">
        <f t="shared" si="2"/>
        <v>0.25793185424880788</v>
      </c>
      <c r="I19" s="6">
        <f t="shared" si="2"/>
        <v>0.15788521538289202</v>
      </c>
      <c r="J19" s="6">
        <f t="shared" si="2"/>
        <v>0.12974382993060407</v>
      </c>
      <c r="K19" s="6">
        <f t="shared" si="2"/>
        <v>0.12598467623576934</v>
      </c>
      <c r="L19" s="6">
        <f t="shared" si="2"/>
        <v>0.39270906924747206</v>
      </c>
      <c r="M19" s="6">
        <f t="shared" si="2"/>
        <v>0.39925234031146389</v>
      </c>
      <c r="N19" s="6">
        <f t="shared" si="2"/>
        <v>0.40187282636969396</v>
      </c>
      <c r="O19" s="6">
        <f t="shared" si="2"/>
        <v>0.27634912135744893</v>
      </c>
      <c r="P19" s="6">
        <f t="shared" si="2"/>
        <v>0.17064657152861482</v>
      </c>
    </row>
    <row r="21" spans="1:17">
      <c r="A21" s="7" t="s">
        <v>19</v>
      </c>
    </row>
    <row r="22" spans="1:17">
      <c r="A22" s="5">
        <v>43496</v>
      </c>
      <c r="B22" s="9">
        <f>B2-B$16</f>
        <v>-8.1347997307759504E-2</v>
      </c>
      <c r="C22" s="9">
        <f t="shared" ref="C22:P33" si="3">C2-C$16</f>
        <v>6.3178008617671894E-2</v>
      </c>
      <c r="D22" s="9">
        <f t="shared" si="3"/>
        <v>0.24481537343034299</v>
      </c>
      <c r="E22" s="9">
        <f t="shared" si="3"/>
        <v>6.69618818017583E-2</v>
      </c>
      <c r="F22" s="9">
        <f t="shared" si="3"/>
        <v>5.0200553483901407E-2</v>
      </c>
      <c r="G22" s="9">
        <f t="shared" si="3"/>
        <v>5.5571555233981502E-2</v>
      </c>
      <c r="H22" s="9">
        <f t="shared" si="3"/>
        <v>0.14631552123676811</v>
      </c>
      <c r="I22" s="9">
        <f t="shared" si="3"/>
        <v>7.2360548412806508E-2</v>
      </c>
      <c r="J22" s="9">
        <f t="shared" si="3"/>
        <v>2.68704723364456E-2</v>
      </c>
      <c r="K22" s="9">
        <f t="shared" si="3"/>
        <v>6.1433284020391395E-2</v>
      </c>
      <c r="L22" s="9">
        <f t="shared" si="3"/>
        <v>0.15080293865214001</v>
      </c>
      <c r="M22" s="9">
        <f t="shared" si="3"/>
        <v>0.16440693500469339</v>
      </c>
      <c r="N22" s="9">
        <f t="shared" si="3"/>
        <v>0.1159075549826674</v>
      </c>
      <c r="O22" s="9">
        <f t="shared" si="3"/>
        <v>8.5962401023221002E-2</v>
      </c>
      <c r="P22" s="9">
        <f t="shared" si="3"/>
        <v>4.8933265299359395E-2</v>
      </c>
    </row>
    <row r="23" spans="1:17">
      <c r="A23" s="5">
        <v>43524</v>
      </c>
      <c r="B23" s="9">
        <f t="shared" ref="B23:B33" si="4">B3-B$16</f>
        <v>8.6439556775974286E-2</v>
      </c>
      <c r="C23" s="9">
        <f t="shared" si="3"/>
        <v>-1.4402145164571899E-2</v>
      </c>
      <c r="D23" s="9">
        <f t="shared" si="3"/>
        <v>-7.5753283250570069E-2</v>
      </c>
      <c r="E23" s="9">
        <f t="shared" si="3"/>
        <v>4.7973048845922295E-2</v>
      </c>
      <c r="F23" s="9">
        <f t="shared" si="3"/>
        <v>2.0101552702803012E-3</v>
      </c>
      <c r="G23" s="9">
        <f t="shared" si="3"/>
        <v>4.5550699420330902E-2</v>
      </c>
      <c r="H23" s="9">
        <f t="shared" si="3"/>
        <v>-1.4278669322306399E-2</v>
      </c>
      <c r="I23" s="9">
        <f t="shared" si="3"/>
        <v>-1.8180436367365001E-2</v>
      </c>
      <c r="J23" s="9">
        <f t="shared" si="3"/>
        <v>8.732191714264901E-3</v>
      </c>
      <c r="K23" s="9">
        <f t="shared" si="3"/>
        <v>9.1197306962417998E-3</v>
      </c>
      <c r="L23" s="9">
        <f t="shared" si="3"/>
        <v>3.6473754241374001E-2</v>
      </c>
      <c r="M23" s="9">
        <f t="shared" si="3"/>
        <v>9.4851513779427396E-2</v>
      </c>
      <c r="N23" s="9">
        <f t="shared" si="3"/>
        <v>-5.6860430010745602E-2</v>
      </c>
      <c r="O23" s="9">
        <f t="shared" si="3"/>
        <v>2.4224359991418094E-2</v>
      </c>
      <c r="P23" s="9">
        <f t="shared" si="3"/>
        <v>2.2696451847571998E-2</v>
      </c>
    </row>
    <row r="24" spans="1:17">
      <c r="A24" s="5">
        <v>43555</v>
      </c>
      <c r="B24" s="9">
        <f t="shared" si="4"/>
        <v>-2.3937250137661053E-2</v>
      </c>
      <c r="C24" s="9">
        <f t="shared" si="3"/>
        <v>-1.7281020551262998E-2</v>
      </c>
      <c r="D24" s="9">
        <f t="shared" si="3"/>
        <v>-2.7839295819911958E-3</v>
      </c>
      <c r="E24" s="9">
        <f t="shared" si="3"/>
        <v>1.3929290714198891E-2</v>
      </c>
      <c r="F24" s="9">
        <f t="shared" si="3"/>
        <v>0.13327621054389741</v>
      </c>
      <c r="G24" s="9">
        <f t="shared" si="3"/>
        <v>-3.6698567265087141E-2</v>
      </c>
      <c r="H24" s="9">
        <f t="shared" si="3"/>
        <v>-2.8617419134789948E-4</v>
      </c>
      <c r="I24" s="9">
        <f t="shared" si="3"/>
        <v>-4.9735801752225903E-2</v>
      </c>
      <c r="J24" s="9">
        <f t="shared" si="3"/>
        <v>-6.7124447314667601E-2</v>
      </c>
      <c r="K24" s="9">
        <f t="shared" si="3"/>
        <v>-1.4968537447854761E-2</v>
      </c>
      <c r="L24" s="9">
        <f t="shared" si="3"/>
        <v>-2.9469047179784623E-2</v>
      </c>
      <c r="M24" s="9">
        <f t="shared" si="3"/>
        <v>-3.2626053589791995E-2</v>
      </c>
      <c r="N24" s="9">
        <f t="shared" si="3"/>
        <v>-0.1175968823554825</v>
      </c>
      <c r="O24" s="9">
        <f t="shared" si="3"/>
        <v>-3.5431027064559806E-2</v>
      </c>
      <c r="P24" s="9">
        <f t="shared" si="3"/>
        <v>-9.5865589288834013E-2</v>
      </c>
    </row>
    <row r="25" spans="1:17">
      <c r="A25" s="5">
        <v>43585</v>
      </c>
      <c r="B25" s="9">
        <f t="shared" si="4"/>
        <v>-8.9952344887077401E-2</v>
      </c>
      <c r="C25" s="9">
        <f t="shared" si="3"/>
        <v>-2.861546849690607E-2</v>
      </c>
      <c r="D25" s="9">
        <f t="shared" si="3"/>
        <v>0.17026861291529699</v>
      </c>
      <c r="E25" s="9">
        <f t="shared" si="3"/>
        <v>-2.1253701296313605E-2</v>
      </c>
      <c r="F25" s="9">
        <f t="shared" si="3"/>
        <v>-8.84692023082089E-2</v>
      </c>
      <c r="G25" s="9">
        <f t="shared" si="3"/>
        <v>9.1006321391206013E-3</v>
      </c>
      <c r="H25" s="9">
        <f t="shared" si="3"/>
        <v>4.8982908024510996E-2</v>
      </c>
      <c r="I25" s="9">
        <f t="shared" si="3"/>
        <v>1.926242832318098E-3</v>
      </c>
      <c r="J25" s="9">
        <f t="shared" si="3"/>
        <v>5.5165276975725805E-2</v>
      </c>
      <c r="K25" s="9">
        <f t="shared" si="3"/>
        <v>-3.56666082312104E-2</v>
      </c>
      <c r="L25" s="9">
        <f t="shared" si="3"/>
        <v>-0.1048729744907083</v>
      </c>
      <c r="M25" s="9">
        <f t="shared" si="3"/>
        <v>-6.939052076019471E-2</v>
      </c>
      <c r="N25" s="9">
        <f t="shared" si="3"/>
        <v>1.3179463229704102E-2</v>
      </c>
      <c r="O25" s="9">
        <f t="shared" si="3"/>
        <v>-2.0055494204066198E-2</v>
      </c>
      <c r="P25" s="9">
        <f t="shared" si="3"/>
        <v>-1.1653571056552198E-2</v>
      </c>
    </row>
    <row r="26" spans="1:17">
      <c r="A26" s="5">
        <v>43616</v>
      </c>
      <c r="B26" s="9">
        <f t="shared" si="4"/>
        <v>-4.5989859395864016E-3</v>
      </c>
      <c r="C26" s="9">
        <f t="shared" si="3"/>
        <v>-7.7385891294605991E-3</v>
      </c>
      <c r="D26" s="9">
        <f t="shared" si="3"/>
        <v>-0.1020385547319083</v>
      </c>
      <c r="E26" s="9">
        <f t="shared" si="3"/>
        <v>4.7431651266743299E-2</v>
      </c>
      <c r="F26" s="9">
        <f t="shared" si="3"/>
        <v>-0.10152252343917539</v>
      </c>
      <c r="G26" s="9">
        <f t="shared" si="3"/>
        <v>-6.22209606469157E-2</v>
      </c>
      <c r="H26" s="9">
        <f t="shared" si="3"/>
        <v>-0.12095226458578751</v>
      </c>
      <c r="I26" s="9">
        <f t="shared" si="3"/>
        <v>-5.1031449873073897E-2</v>
      </c>
      <c r="J26" s="9">
        <f t="shared" si="3"/>
        <v>4.8978792423232595E-2</v>
      </c>
      <c r="K26" s="9">
        <f t="shared" si="3"/>
        <v>-7.0176815724561109E-2</v>
      </c>
      <c r="L26" s="9">
        <f t="shared" si="3"/>
        <v>-0.17440163346519899</v>
      </c>
      <c r="M26" s="9">
        <f t="shared" si="3"/>
        <v>0.14981968099181042</v>
      </c>
      <c r="N26" s="9">
        <f t="shared" si="3"/>
        <v>-0.27920860063299557</v>
      </c>
      <c r="O26" s="9">
        <f t="shared" si="3"/>
        <v>-0.14553718685301301</v>
      </c>
      <c r="P26" s="9">
        <f t="shared" si="3"/>
        <v>-9.9010357457677195E-2</v>
      </c>
    </row>
    <row r="27" spans="1:17">
      <c r="A27" s="5">
        <v>43646</v>
      </c>
      <c r="B27" s="9">
        <f t="shared" si="4"/>
        <v>8.0434534363165305E-2</v>
      </c>
      <c r="C27" s="9">
        <f t="shared" si="3"/>
        <v>1.0691175454233301E-2</v>
      </c>
      <c r="D27" s="9">
        <f t="shared" si="3"/>
        <v>-0.1313061296813075</v>
      </c>
      <c r="E27" s="9">
        <f t="shared" si="3"/>
        <v>3.5783211986725003E-2</v>
      </c>
      <c r="F27" s="9">
        <f t="shared" si="3"/>
        <v>-2.8584953762475517E-2</v>
      </c>
      <c r="G27" s="9">
        <f t="shared" si="3"/>
        <v>3.7703358666268304E-2</v>
      </c>
      <c r="H27" s="9">
        <f t="shared" si="3"/>
        <v>-2.5952236294603429E-2</v>
      </c>
      <c r="I27" s="9">
        <f t="shared" si="3"/>
        <v>7.0759900589860078E-4</v>
      </c>
      <c r="J27" s="9">
        <f t="shared" si="3"/>
        <v>1.9871967424028997E-2</v>
      </c>
      <c r="K27" s="9">
        <f t="shared" si="3"/>
        <v>3.5849391193798E-2</v>
      </c>
      <c r="L27" s="9">
        <f t="shared" si="3"/>
        <v>2.5740175597583001E-3</v>
      </c>
      <c r="M27" s="9">
        <f t="shared" si="3"/>
        <v>-2.9372252890626019E-3</v>
      </c>
      <c r="N27" s="9">
        <f t="shared" si="3"/>
        <v>6.6139200936238596E-2</v>
      </c>
      <c r="O27" s="9">
        <f t="shared" si="3"/>
        <v>-2.5970733757531998E-2</v>
      </c>
      <c r="P27" s="9">
        <f t="shared" si="3"/>
        <v>3.7423270032178303E-2</v>
      </c>
    </row>
    <row r="28" spans="1:17">
      <c r="A28" s="5">
        <v>43677</v>
      </c>
      <c r="B28" s="9">
        <f t="shared" si="4"/>
        <v>7.3483504755668894E-2</v>
      </c>
      <c r="C28" s="9">
        <f t="shared" si="3"/>
        <v>1.0522109671074698E-2</v>
      </c>
      <c r="D28" s="9">
        <f t="shared" si="3"/>
        <v>2.6097837102320998E-2</v>
      </c>
      <c r="E28" s="9">
        <f t="shared" si="3"/>
        <v>-7.0201620433040707E-2</v>
      </c>
      <c r="F28" s="9">
        <f t="shared" si="3"/>
        <v>4.9245588041922507E-2</v>
      </c>
      <c r="G28" s="9">
        <f t="shared" si="3"/>
        <v>3.6954674519431595E-2</v>
      </c>
      <c r="H28" s="9">
        <f t="shared" si="3"/>
        <v>-4.22751190758196E-2</v>
      </c>
      <c r="I28" s="9">
        <f t="shared" si="3"/>
        <v>-4.4551410887317497E-2</v>
      </c>
      <c r="J28" s="9">
        <f t="shared" si="3"/>
        <v>6.5733036374736979E-3</v>
      </c>
      <c r="K28" s="9">
        <f t="shared" si="3"/>
        <v>-8.2188549912380008E-3</v>
      </c>
      <c r="L28" s="9">
        <f t="shared" si="3"/>
        <v>0.182608037493313</v>
      </c>
      <c r="M28" s="9">
        <f t="shared" si="3"/>
        <v>-8.6951417100592496E-2</v>
      </c>
      <c r="N28" s="9">
        <f t="shared" si="3"/>
        <v>-1.6653591752407298E-2</v>
      </c>
      <c r="O28" s="9">
        <f t="shared" si="3"/>
        <v>2.4349751878622795E-2</v>
      </c>
      <c r="P28" s="9">
        <f t="shared" si="3"/>
        <v>9.587754729952401E-3</v>
      </c>
    </row>
    <row r="29" spans="1:17">
      <c r="A29" s="5">
        <v>43708</v>
      </c>
      <c r="B29" s="9">
        <f t="shared" si="4"/>
        <v>1.3111432670398097E-2</v>
      </c>
      <c r="C29" s="9">
        <f t="shared" si="3"/>
        <v>-8.8224701642584981E-3</v>
      </c>
      <c r="D29" s="9">
        <f t="shared" si="3"/>
        <v>-0.13249655882262962</v>
      </c>
      <c r="E29" s="9">
        <f t="shared" si="3"/>
        <v>-0.1309777992131641</v>
      </c>
      <c r="F29" s="9">
        <f t="shared" si="3"/>
        <v>-4.8989690418537596E-2</v>
      </c>
      <c r="G29" s="9">
        <f t="shared" si="3"/>
        <v>-3.8221195424127039E-3</v>
      </c>
      <c r="H29" s="9">
        <f t="shared" si="3"/>
        <v>-4.5638274029258005E-2</v>
      </c>
      <c r="I29" s="9">
        <f t="shared" si="3"/>
        <v>-6.4656636188329883E-4</v>
      </c>
      <c r="J29" s="9">
        <f t="shared" si="3"/>
        <v>-2.7607415341626002E-3</v>
      </c>
      <c r="K29" s="9">
        <f t="shared" si="3"/>
        <v>-1.5700857449853015E-3</v>
      </c>
      <c r="L29" s="9">
        <f t="shared" si="3"/>
        <v>-3.5857318788961035E-3</v>
      </c>
      <c r="M29" s="9">
        <f t="shared" si="3"/>
        <v>-0.1145570728474124</v>
      </c>
      <c r="N29" s="9">
        <f t="shared" si="3"/>
        <v>-2.860625437126877E-2</v>
      </c>
      <c r="O29" s="9">
        <f t="shared" si="3"/>
        <v>-6.5275862302906398E-2</v>
      </c>
      <c r="P29" s="9">
        <f t="shared" si="3"/>
        <v>-1.44819893900224E-2</v>
      </c>
    </row>
    <row r="30" spans="1:17">
      <c r="A30" s="5">
        <v>43738</v>
      </c>
      <c r="B30" s="9">
        <f t="shared" si="4"/>
        <v>-3.1074691612047862E-2</v>
      </c>
      <c r="C30" s="9">
        <f t="shared" si="3"/>
        <v>-3.1742338836969961E-3</v>
      </c>
      <c r="D30" s="9">
        <f t="shared" si="3"/>
        <v>0.13580871201746902</v>
      </c>
      <c r="E30" s="9">
        <f t="shared" si="3"/>
        <v>-5.7831506627993703E-2</v>
      </c>
      <c r="F30" s="9">
        <f t="shared" si="3"/>
        <v>1.9671386817234703E-2</v>
      </c>
      <c r="G30" s="9">
        <f t="shared" si="3"/>
        <v>-5.35402314860359E-2</v>
      </c>
      <c r="H30" s="9">
        <f t="shared" si="3"/>
        <v>7.2175230110699595E-2</v>
      </c>
      <c r="I30" s="9">
        <f t="shared" si="3"/>
        <v>1.6950571473257101E-2</v>
      </c>
      <c r="J30" s="9">
        <f t="shared" si="3"/>
        <v>-3.37623893605234E-2</v>
      </c>
      <c r="K30" s="9">
        <f t="shared" si="3"/>
        <v>8.8680912355833981E-3</v>
      </c>
      <c r="L30" s="9">
        <f t="shared" si="3"/>
        <v>-0.18528836362656498</v>
      </c>
      <c r="M30" s="9">
        <f t="shared" si="3"/>
        <v>-4.85027425108088E-2</v>
      </c>
      <c r="N30" s="9">
        <f t="shared" si="3"/>
        <v>0.16570517032876941</v>
      </c>
      <c r="O30" s="9">
        <f t="shared" si="3"/>
        <v>0.11135013630698801</v>
      </c>
      <c r="P30" s="9">
        <f t="shared" si="3"/>
        <v>3.7086719924908203E-2</v>
      </c>
    </row>
    <row r="31" spans="1:17">
      <c r="A31" s="5">
        <v>43769</v>
      </c>
      <c r="B31" s="9">
        <f t="shared" si="4"/>
        <v>9.7676202233299009E-3</v>
      </c>
      <c r="C31" s="9">
        <f t="shared" si="3"/>
        <v>5.1534066631878025E-3</v>
      </c>
      <c r="D31" s="9">
        <f t="shared" si="3"/>
        <v>-5.9395054565837699E-2</v>
      </c>
      <c r="E31" s="9">
        <f t="shared" si="3"/>
        <v>7.2438763642276291E-2</v>
      </c>
      <c r="F31" s="9">
        <f t="shared" si="3"/>
        <v>-0.12617883138725361</v>
      </c>
      <c r="G31" s="9">
        <f t="shared" si="3"/>
        <v>-9.1303209279249203E-2</v>
      </c>
      <c r="H31" s="9">
        <f t="shared" si="3"/>
        <v>-5.1343714675319799E-2</v>
      </c>
      <c r="I31" s="9">
        <f t="shared" si="3"/>
        <v>1.3132309161758702E-2</v>
      </c>
      <c r="J31" s="9">
        <f t="shared" si="3"/>
        <v>-5.5023888158796802E-2</v>
      </c>
      <c r="K31" s="9">
        <f t="shared" si="3"/>
        <v>3.6092068564535992E-3</v>
      </c>
      <c r="L31" s="9">
        <f t="shared" si="3"/>
        <v>6.4338106334977094E-2</v>
      </c>
      <c r="M31" s="9">
        <f t="shared" si="3"/>
        <v>-0.21021175385647062</v>
      </c>
      <c r="N31" s="9">
        <f t="shared" si="3"/>
        <v>4.8537891398170191E-2</v>
      </c>
      <c r="O31" s="9">
        <f t="shared" si="3"/>
        <v>-9.7622627242628407E-2</v>
      </c>
      <c r="P31" s="9">
        <f t="shared" si="3"/>
        <v>2.3321552133289597E-2</v>
      </c>
    </row>
    <row r="32" spans="1:17">
      <c r="A32" s="5">
        <v>43799</v>
      </c>
      <c r="B32" s="9">
        <f t="shared" si="4"/>
        <v>-2.9018247211212021E-2</v>
      </c>
      <c r="C32" s="9">
        <f t="shared" si="3"/>
        <v>2.2950284561384197E-2</v>
      </c>
      <c r="D32" s="9">
        <f t="shared" si="3"/>
        <v>-9.2170451995061298E-2</v>
      </c>
      <c r="E32" s="9">
        <f t="shared" si="3"/>
        <v>3.2077627757467697E-2</v>
      </c>
      <c r="F32" s="9">
        <f t="shared" si="3"/>
        <v>0.10789500204052641</v>
      </c>
      <c r="G32" s="9">
        <f t="shared" si="3"/>
        <v>5.91525488844886E-2</v>
      </c>
      <c r="H32" s="9">
        <f t="shared" si="3"/>
        <v>-5.1937188579404103E-2</v>
      </c>
      <c r="I32" s="9">
        <f t="shared" si="3"/>
        <v>-3.3759637397849651E-2</v>
      </c>
      <c r="J32" s="9">
        <f t="shared" si="3"/>
        <v>-8.3995915608885315E-3</v>
      </c>
      <c r="K32" s="9">
        <f t="shared" si="3"/>
        <v>-3.12590505535916E-2</v>
      </c>
      <c r="L32" s="9">
        <f t="shared" si="3"/>
        <v>4.6401463368503995E-3</v>
      </c>
      <c r="M32" s="9">
        <f t="shared" si="3"/>
        <v>0.11232477789058741</v>
      </c>
      <c r="N32" s="9">
        <f t="shared" si="3"/>
        <v>5.2791596532678897E-2</v>
      </c>
      <c r="O32" s="9">
        <f t="shared" si="3"/>
        <v>4.5892823689480201E-2</v>
      </c>
      <c r="P32" s="9">
        <f t="shared" si="3"/>
        <v>1.2234696424551501E-2</v>
      </c>
    </row>
    <row r="33" spans="1:16">
      <c r="A33" s="5">
        <v>43830</v>
      </c>
      <c r="B33" s="9">
        <f t="shared" si="4"/>
        <v>-3.3071316931916998E-3</v>
      </c>
      <c r="C33" s="9">
        <f t="shared" si="3"/>
        <v>-3.2461057577394432E-2</v>
      </c>
      <c r="D33" s="9">
        <f t="shared" si="3"/>
        <v>1.8953427163876005E-2</v>
      </c>
      <c r="E33" s="9">
        <f t="shared" si="3"/>
        <v>-3.6330848444579802E-2</v>
      </c>
      <c r="F33" s="9">
        <f t="shared" si="3"/>
        <v>3.14463051178882E-2</v>
      </c>
      <c r="G33" s="9">
        <f t="shared" si="3"/>
        <v>3.5516193560794981E-3</v>
      </c>
      <c r="H33" s="9">
        <f t="shared" si="3"/>
        <v>8.5189981381867105E-2</v>
      </c>
      <c r="I33" s="9">
        <f t="shared" si="3"/>
        <v>9.2828031753676502E-2</v>
      </c>
      <c r="J33" s="9">
        <f t="shared" si="3"/>
        <v>8.7905341786730096E-4</v>
      </c>
      <c r="K33" s="9">
        <f t="shared" si="3"/>
        <v>4.2980248690973499E-2</v>
      </c>
      <c r="L33" s="9">
        <f t="shared" si="3"/>
        <v>5.6180750022740297E-2</v>
      </c>
      <c r="M33" s="9">
        <f t="shared" si="3"/>
        <v>4.3773878287814399E-2</v>
      </c>
      <c r="N33" s="9">
        <f t="shared" si="3"/>
        <v>3.6664881714671096E-2</v>
      </c>
      <c r="O33" s="9">
        <f t="shared" si="3"/>
        <v>9.8113458534975995E-2</v>
      </c>
      <c r="P33" s="9">
        <f t="shared" si="3"/>
        <v>2.9727796801274797E-2</v>
      </c>
    </row>
    <row r="35" spans="1:16">
      <c r="A35" s="7" t="s">
        <v>20</v>
      </c>
      <c r="B35" s="7" t="s">
        <v>1</v>
      </c>
      <c r="C35" s="7" t="s">
        <v>2</v>
      </c>
      <c r="D35" s="7" t="s">
        <v>3</v>
      </c>
      <c r="E35" s="7" t="s">
        <v>4</v>
      </c>
      <c r="F35" s="7" t="s">
        <v>55</v>
      </c>
      <c r="G35" s="7" t="s">
        <v>5</v>
      </c>
      <c r="H35" s="7" t="s">
        <v>6</v>
      </c>
      <c r="I35" s="7" t="s">
        <v>7</v>
      </c>
      <c r="J35" s="7" t="s">
        <v>8</v>
      </c>
      <c r="K35" s="7" t="s">
        <v>9</v>
      </c>
      <c r="L35" s="7" t="s">
        <v>10</v>
      </c>
      <c r="M35" s="7" t="s">
        <v>11</v>
      </c>
      <c r="N35" s="7" t="s">
        <v>12</v>
      </c>
      <c r="O35" s="7" t="s">
        <v>13</v>
      </c>
      <c r="P35" s="7" t="s">
        <v>14</v>
      </c>
    </row>
    <row r="36" spans="1:16">
      <c r="A36" s="7" t="s">
        <v>1</v>
      </c>
      <c r="B36" s="4">
        <f t="array" ref="B36:P50">MMULT(TRANSPOSE(B22:P33),B22:P33)/11</f>
        <v>3.3391226108221411E-3</v>
      </c>
      <c r="C36" s="4">
        <v>-2.0483858569045213E-4</v>
      </c>
      <c r="D36" s="4">
        <v>-4.8920812121768832E-3</v>
      </c>
      <c r="E36" s="4">
        <v>-2.0399898372987265E-4</v>
      </c>
      <c r="F36" s="4">
        <v>-2.7970771463967895E-4</v>
      </c>
      <c r="G36" s="4">
        <v>4.0950183954542319E-4</v>
      </c>
      <c r="H36" s="4">
        <v>-2.2082760245531667E-3</v>
      </c>
      <c r="I36" s="4">
        <v>-8.3246369037569127E-4</v>
      </c>
      <c r="J36" s="4">
        <v>-2.0127401903838308E-4</v>
      </c>
      <c r="K36" s="4">
        <v>2.2398073951238572E-4</v>
      </c>
      <c r="L36" s="4">
        <v>1.9518885450975486E-3</v>
      </c>
      <c r="M36" s="4">
        <v>-9.9268219764345449E-4</v>
      </c>
      <c r="N36" s="4">
        <v>-1.2761462771258541E-3</v>
      </c>
      <c r="O36" s="4">
        <v>-8.0025971179182003E-4</v>
      </c>
      <c r="P36" s="4">
        <v>3.5694545140922305E-4</v>
      </c>
    </row>
    <row r="37" spans="1:16">
      <c r="A37" s="7" t="s">
        <v>2</v>
      </c>
      <c r="B37" s="4">
        <v>-2.0483858569045213E-4</v>
      </c>
      <c r="C37" s="4">
        <v>6.6328801948543729E-4</v>
      </c>
      <c r="D37" s="4">
        <v>8.2685068305644567E-4</v>
      </c>
      <c r="E37" s="4">
        <v>6.1926095358922771E-4</v>
      </c>
      <c r="F37" s="4">
        <v>5.0401994153482545E-4</v>
      </c>
      <c r="G37" s="4">
        <v>4.9795497799600937E-4</v>
      </c>
      <c r="H37" s="4">
        <v>3.8347053093915865E-4</v>
      </c>
      <c r="I37" s="4">
        <v>1.6390775983616751E-4</v>
      </c>
      <c r="J37" s="4">
        <v>6.2046372535795569E-5</v>
      </c>
      <c r="K37" s="4">
        <v>3.418866424672019E-4</v>
      </c>
      <c r="L37" s="4">
        <v>1.3677352159790724E-3</v>
      </c>
      <c r="M37" s="4">
        <v>9.7298650385537258E-4</v>
      </c>
      <c r="N37" s="4">
        <v>1.13520559125622E-3</v>
      </c>
      <c r="O37" s="4">
        <v>4.5097985674498209E-4</v>
      </c>
      <c r="P37" s="4">
        <v>4.970875804208699E-4</v>
      </c>
    </row>
    <row r="38" spans="1:16">
      <c r="A38" s="7" t="s">
        <v>3</v>
      </c>
      <c r="B38" s="4">
        <v>-4.8920812121768832E-3</v>
      </c>
      <c r="C38" s="4">
        <v>8.2685068305644567E-4</v>
      </c>
      <c r="D38" s="4">
        <v>1.5580752975724348E-2</v>
      </c>
      <c r="E38" s="4">
        <v>-6.5143594871361029E-5</v>
      </c>
      <c r="F38" s="4">
        <v>1.7644563464862427E-3</v>
      </c>
      <c r="G38" s="4">
        <v>6.7653738338092787E-4</v>
      </c>
      <c r="H38" s="4">
        <v>7.7444913307982942E-3</v>
      </c>
      <c r="I38" s="4">
        <v>2.7262699261254163E-3</v>
      </c>
      <c r="J38" s="4">
        <v>7.1824312204680292E-4</v>
      </c>
      <c r="K38" s="4">
        <v>1.4045947067220924E-3</v>
      </c>
      <c r="L38" s="4">
        <v>9.7561884206181257E-4</v>
      </c>
      <c r="M38" s="4">
        <v>1.4293074152818719E-3</v>
      </c>
      <c r="N38" s="4">
        <v>6.7151189092607812E-3</v>
      </c>
      <c r="O38" s="4">
        <v>5.6353387627936721E-3</v>
      </c>
      <c r="P38" s="4">
        <v>1.7262012663230915E-3</v>
      </c>
    </row>
    <row r="39" spans="1:16">
      <c r="A39" s="7" t="s">
        <v>4</v>
      </c>
      <c r="B39" s="4">
        <v>-2.0399898372987265E-4</v>
      </c>
      <c r="C39" s="4">
        <v>6.1926095358922771E-4</v>
      </c>
      <c r="D39" s="4">
        <v>-6.5143594871361029E-5</v>
      </c>
      <c r="E39" s="4">
        <v>3.9986786888054479E-3</v>
      </c>
      <c r="F39" s="4">
        <v>-3.3122022348606984E-4</v>
      </c>
      <c r="G39" s="4">
        <v>-2.2102308378193664E-5</v>
      </c>
      <c r="H39" s="4">
        <v>-2.0973127523442567E-4</v>
      </c>
      <c r="I39" s="4">
        <v>-3.8895861621291485E-5</v>
      </c>
      <c r="J39" s="4">
        <v>6.4582162537309783E-5</v>
      </c>
      <c r="K39" s="4">
        <v>9.2902696530854206E-5</v>
      </c>
      <c r="L39" s="4">
        <v>6.0184642421929376E-4</v>
      </c>
      <c r="M39" s="4">
        <v>3.1163267489183865E-3</v>
      </c>
      <c r="N39" s="4">
        <v>-7.7735310705407919E-4</v>
      </c>
      <c r="O39" s="4">
        <v>-8.8587859208790712E-4</v>
      </c>
      <c r="P39" s="4">
        <v>1.3582592256643652E-7</v>
      </c>
    </row>
    <row r="40" spans="1:16">
      <c r="A40" s="7" t="s">
        <v>55</v>
      </c>
      <c r="B40" s="4">
        <v>-2.7970771463967895E-4</v>
      </c>
      <c r="C40" s="4">
        <v>5.0401994153482545E-4</v>
      </c>
      <c r="D40" s="4">
        <v>1.7644563464862427E-3</v>
      </c>
      <c r="E40" s="4">
        <v>-3.3122022348606984E-4</v>
      </c>
      <c r="F40" s="4">
        <v>6.6364351749737451E-3</v>
      </c>
      <c r="G40" s="4">
        <v>1.9447787092343309E-3</v>
      </c>
      <c r="H40" s="4">
        <v>1.9175806427902148E-3</v>
      </c>
      <c r="I40" s="4">
        <v>-2.046967675862192E-4</v>
      </c>
      <c r="J40" s="4">
        <v>-1.1037749322078628E-3</v>
      </c>
      <c r="K40" s="4">
        <v>7.0296637305057629E-4</v>
      </c>
      <c r="L40" s="4">
        <v>2.7544521498597888E-3</v>
      </c>
      <c r="M40" s="4">
        <v>3.2276935442068885E-3</v>
      </c>
      <c r="N40" s="4">
        <v>1.8078430508324641E-3</v>
      </c>
      <c r="O40" s="4">
        <v>3.9887368085706346E-3</v>
      </c>
      <c r="P40" s="4">
        <v>8.7444976344321768E-5</v>
      </c>
    </row>
    <row r="41" spans="1:16">
      <c r="A41" s="7" t="s">
        <v>5</v>
      </c>
      <c r="B41" s="4">
        <v>4.0950183954542319E-4</v>
      </c>
      <c r="C41" s="4">
        <v>4.9795497799600937E-4</v>
      </c>
      <c r="D41" s="4">
        <v>6.7653738338092787E-4</v>
      </c>
      <c r="E41" s="4">
        <v>-2.2102308378193664E-5</v>
      </c>
      <c r="F41" s="4">
        <v>1.9447787092343309E-3</v>
      </c>
      <c r="G41" s="4">
        <v>2.5436716845884922E-3</v>
      </c>
      <c r="H41" s="4">
        <v>1.0136562999488793E-3</v>
      </c>
      <c r="I41" s="4">
        <v>2.5636128303374573E-4</v>
      </c>
      <c r="J41" s="4">
        <v>8.3176076596446988E-4</v>
      </c>
      <c r="K41" s="4">
        <v>6.3397644306852075E-4</v>
      </c>
      <c r="L41" s="4">
        <v>2.9453952436380155E-3</v>
      </c>
      <c r="M41" s="4">
        <v>2.7640251220788442E-3</v>
      </c>
      <c r="N41" s="4">
        <v>1.5996667157763408E-3</v>
      </c>
      <c r="O41" s="4">
        <v>2.0216860317485348E-3</v>
      </c>
      <c r="P41" s="4">
        <v>1.0782463431345639E-3</v>
      </c>
    </row>
    <row r="42" spans="1:16">
      <c r="A42" s="7" t="s">
        <v>6</v>
      </c>
      <c r="B42" s="4">
        <v>-2.2082760245531667E-3</v>
      </c>
      <c r="C42" s="4">
        <v>3.8347053093915865E-4</v>
      </c>
      <c r="D42" s="4">
        <v>7.7444913307982942E-3</v>
      </c>
      <c r="E42" s="4">
        <v>-2.0973127523442567E-4</v>
      </c>
      <c r="F42" s="4">
        <v>1.9175806427902148E-3</v>
      </c>
      <c r="G42" s="4">
        <v>1.0136562999488793E-3</v>
      </c>
      <c r="H42" s="4">
        <v>5.5440701196856909E-3</v>
      </c>
      <c r="I42" s="4">
        <v>2.6575571556123074E-3</v>
      </c>
      <c r="J42" s="4">
        <v>7.5999890785972439E-5</v>
      </c>
      <c r="K42" s="4">
        <v>1.8938342717287843E-3</v>
      </c>
      <c r="L42" s="4">
        <v>1.6141143853908662E-3</v>
      </c>
      <c r="M42" s="4">
        <v>1.3962004642467793E-3</v>
      </c>
      <c r="N42" s="4">
        <v>5.6694126258214315E-3</v>
      </c>
      <c r="O42" s="4">
        <v>4.5918194893768589E-3</v>
      </c>
      <c r="P42" s="4">
        <v>1.9025955113567228E-3</v>
      </c>
    </row>
    <row r="43" spans="1:16">
      <c r="A43" s="7" t="s">
        <v>7</v>
      </c>
      <c r="B43" s="4">
        <v>-8.3246369037569127E-4</v>
      </c>
      <c r="C43" s="4">
        <v>1.6390775983616751E-4</v>
      </c>
      <c r="D43" s="4">
        <v>2.7262699261254163E-3</v>
      </c>
      <c r="E43" s="4">
        <v>-3.8895861621291485E-5</v>
      </c>
      <c r="F43" s="4">
        <v>-2.046967675862192E-4</v>
      </c>
      <c r="G43" s="4">
        <v>2.5636128303374573E-4</v>
      </c>
      <c r="H43" s="4">
        <v>2.6575571556123074E-3</v>
      </c>
      <c r="I43" s="4">
        <v>2.0773117697085166E-3</v>
      </c>
      <c r="J43" s="4">
        <v>1.385618261004471E-4</v>
      </c>
      <c r="K43" s="4">
        <v>1.2883514578413456E-3</v>
      </c>
      <c r="L43" s="4">
        <v>1.3676414347157529E-3</v>
      </c>
      <c r="M43" s="4">
        <v>4.2273830890605815E-4</v>
      </c>
      <c r="N43" s="4">
        <v>3.2198378104413908E-3</v>
      </c>
      <c r="O43" s="4">
        <v>2.0030194615372377E-3</v>
      </c>
      <c r="P43" s="4">
        <v>1.4378627326413875E-3</v>
      </c>
    </row>
    <row r="44" spans="1:16">
      <c r="A44" s="7" t="s">
        <v>54</v>
      </c>
      <c r="B44" s="4">
        <v>-2.0127401903838308E-4</v>
      </c>
      <c r="C44" s="4">
        <v>6.2046372535795569E-5</v>
      </c>
      <c r="D44" s="4">
        <v>7.1824312204680292E-4</v>
      </c>
      <c r="E44" s="4">
        <v>6.4582162537309783E-5</v>
      </c>
      <c r="F44" s="4">
        <v>-1.1037749322078628E-3</v>
      </c>
      <c r="G44" s="4">
        <v>8.3176076596446988E-4</v>
      </c>
      <c r="H44" s="4">
        <v>7.5999890785972439E-5</v>
      </c>
      <c r="I44" s="4">
        <v>1.385618261004471E-4</v>
      </c>
      <c r="J44" s="4">
        <v>1.402788450421793E-3</v>
      </c>
      <c r="K44" s="4">
        <v>-2.0041367814417575E-4</v>
      </c>
      <c r="L44" s="4">
        <v>-3.6283170666030464E-4</v>
      </c>
      <c r="M44" s="4">
        <v>2.084688087803968E-3</v>
      </c>
      <c r="N44" s="4">
        <v>-8.9357937150364103E-4</v>
      </c>
      <c r="O44" s="4">
        <v>-1.9980527178855203E-4</v>
      </c>
      <c r="P44" s="4">
        <v>6.2759960615026042E-5</v>
      </c>
    </row>
    <row r="45" spans="1:16">
      <c r="A45" s="7" t="s">
        <v>51</v>
      </c>
      <c r="B45" s="4">
        <v>2.2398073951238572E-4</v>
      </c>
      <c r="C45" s="4">
        <v>3.418866424672019E-4</v>
      </c>
      <c r="D45" s="4">
        <v>1.4045947067220924E-3</v>
      </c>
      <c r="E45" s="4">
        <v>9.2902696530854206E-5</v>
      </c>
      <c r="F45" s="4">
        <v>7.0296637305057629E-4</v>
      </c>
      <c r="G45" s="4">
        <v>6.3397644306852075E-4</v>
      </c>
      <c r="H45" s="4">
        <v>1.8938342717287843E-3</v>
      </c>
      <c r="I45" s="4">
        <v>1.2883514578413456E-3</v>
      </c>
      <c r="J45" s="4">
        <v>-2.0041367814417575E-4</v>
      </c>
      <c r="K45" s="4">
        <v>1.3226782205193023E-3</v>
      </c>
      <c r="L45" s="4">
        <v>2.3157475500859607E-3</v>
      </c>
      <c r="M45" s="4">
        <v>1.2592076966467177E-4</v>
      </c>
      <c r="N45" s="4">
        <v>2.8735770237662277E-3</v>
      </c>
      <c r="O45" s="4">
        <v>1.7590631800765593E-3</v>
      </c>
      <c r="P45" s="4">
        <v>1.3278020194758293E-3</v>
      </c>
    </row>
    <row r="46" spans="1:16">
      <c r="A46" s="7" t="s">
        <v>10</v>
      </c>
      <c r="B46" s="4">
        <v>1.9518885450975486E-3</v>
      </c>
      <c r="C46" s="4">
        <v>1.3677352159790724E-3</v>
      </c>
      <c r="D46" s="4">
        <v>9.7561884206181257E-4</v>
      </c>
      <c r="E46" s="4">
        <v>6.0184642421929376E-4</v>
      </c>
      <c r="F46" s="4">
        <v>2.7544521498597888E-3</v>
      </c>
      <c r="G46" s="4">
        <v>2.9453952436380155E-3</v>
      </c>
      <c r="H46" s="4">
        <v>1.6141143853908662E-3</v>
      </c>
      <c r="I46" s="4">
        <v>1.3676414347157529E-3</v>
      </c>
      <c r="J46" s="4">
        <v>-3.6283170666030464E-4</v>
      </c>
      <c r="K46" s="4">
        <v>2.3157475500859607E-3</v>
      </c>
      <c r="L46" s="4">
        <v>1.2851701089101318E-2</v>
      </c>
      <c r="M46" s="4">
        <v>-6.063186494516099E-4</v>
      </c>
      <c r="N46" s="4">
        <v>3.4671978828038452E-3</v>
      </c>
      <c r="O46" s="4">
        <v>2.3456570641163621E-3</v>
      </c>
      <c r="P46" s="4">
        <v>2.5251427848333756E-3</v>
      </c>
    </row>
    <row r="47" spans="1:16">
      <c r="A47" s="7" t="s">
        <v>11</v>
      </c>
      <c r="B47" s="4">
        <v>-9.9268219764345449E-4</v>
      </c>
      <c r="C47" s="4">
        <v>9.7298650385537258E-4</v>
      </c>
      <c r="D47" s="4">
        <v>1.4293074152818719E-3</v>
      </c>
      <c r="E47" s="4">
        <v>3.1163267489183865E-3</v>
      </c>
      <c r="F47" s="4">
        <v>3.2276935442068885E-3</v>
      </c>
      <c r="G47" s="4">
        <v>2.7640251220788442E-3</v>
      </c>
      <c r="H47" s="4">
        <v>1.3962004642467793E-3</v>
      </c>
      <c r="I47" s="4">
        <v>4.2273830890605815E-4</v>
      </c>
      <c r="J47" s="4">
        <v>2.084688087803968E-3</v>
      </c>
      <c r="K47" s="4">
        <v>1.2592076966467177E-4</v>
      </c>
      <c r="L47" s="4">
        <v>-6.063186494516099E-4</v>
      </c>
      <c r="M47" s="4">
        <v>1.3283535937015079E-2</v>
      </c>
      <c r="N47" s="4">
        <v>-2.8564389762768217E-3</v>
      </c>
      <c r="O47" s="4">
        <v>2.4710023324816424E-3</v>
      </c>
      <c r="P47" s="4">
        <v>-3.6453296154456694E-4</v>
      </c>
    </row>
    <row r="48" spans="1:16">
      <c r="A48" s="7" t="s">
        <v>12</v>
      </c>
      <c r="B48" s="4">
        <v>-1.2761462771258541E-3</v>
      </c>
      <c r="C48" s="4">
        <v>1.13520559125622E-3</v>
      </c>
      <c r="D48" s="4">
        <v>6.7151189092607812E-3</v>
      </c>
      <c r="E48" s="4">
        <v>-7.7735310705407919E-4</v>
      </c>
      <c r="F48" s="4">
        <v>1.8078430508324641E-3</v>
      </c>
      <c r="G48" s="4">
        <v>1.5996667157763408E-3</v>
      </c>
      <c r="H48" s="4">
        <v>5.6694126258214315E-3</v>
      </c>
      <c r="I48" s="4">
        <v>3.2198378104413908E-3</v>
      </c>
      <c r="J48" s="4">
        <v>-8.9357937150364103E-4</v>
      </c>
      <c r="K48" s="4">
        <v>2.8735770237662277E-3</v>
      </c>
      <c r="L48" s="4">
        <v>3.4671978828038452E-3</v>
      </c>
      <c r="M48" s="4">
        <v>-2.8564389762768217E-3</v>
      </c>
      <c r="N48" s="4">
        <v>1.3458480714530515E-2</v>
      </c>
      <c r="O48" s="4">
        <v>6.6000772977166658E-3</v>
      </c>
      <c r="P48" s="4">
        <v>4.9898818825139463E-3</v>
      </c>
    </row>
    <row r="49" spans="1:16">
      <c r="A49" s="7" t="s">
        <v>13</v>
      </c>
      <c r="B49" s="4">
        <v>-8.0025971179182003E-4</v>
      </c>
      <c r="C49" s="4">
        <v>4.5097985674498209E-4</v>
      </c>
      <c r="D49" s="4">
        <v>5.6353387627936721E-3</v>
      </c>
      <c r="E49" s="4">
        <v>-8.8587859208790712E-4</v>
      </c>
      <c r="F49" s="4">
        <v>3.9887368085706346E-3</v>
      </c>
      <c r="G49" s="4">
        <v>2.0216860317485348E-3</v>
      </c>
      <c r="H49" s="4">
        <v>4.5918194893768589E-3</v>
      </c>
      <c r="I49" s="4">
        <v>2.0030194615372377E-3</v>
      </c>
      <c r="J49" s="4">
        <v>-1.9980527178855203E-4</v>
      </c>
      <c r="K49" s="4">
        <v>1.7590631800765593E-3</v>
      </c>
      <c r="L49" s="4">
        <v>2.3456570641163621E-3</v>
      </c>
      <c r="M49" s="4">
        <v>2.4710023324816424E-3</v>
      </c>
      <c r="N49" s="4">
        <v>6.6000772977166658E-3</v>
      </c>
      <c r="O49" s="4">
        <v>6.3640697395861701E-3</v>
      </c>
      <c r="P49" s="4">
        <v>2.5758370153503001E-3</v>
      </c>
    </row>
    <row r="50" spans="1:16">
      <c r="A50" s="7" t="s">
        <v>14</v>
      </c>
      <c r="B50" s="4">
        <v>3.5694545140922305E-4</v>
      </c>
      <c r="C50" s="4">
        <v>4.970875804208699E-4</v>
      </c>
      <c r="D50" s="4">
        <v>1.7262012663230915E-3</v>
      </c>
      <c r="E50" s="4">
        <v>1.3582592256643652E-7</v>
      </c>
      <c r="F50" s="4">
        <v>8.7444976344321768E-5</v>
      </c>
      <c r="G50" s="4">
        <v>1.0782463431345639E-3</v>
      </c>
      <c r="H50" s="4">
        <v>1.9025955113567228E-3</v>
      </c>
      <c r="I50" s="4">
        <v>1.4378627326413875E-3</v>
      </c>
      <c r="J50" s="4">
        <v>6.2759960615026042E-5</v>
      </c>
      <c r="K50" s="4">
        <v>1.3278020194758293E-3</v>
      </c>
      <c r="L50" s="4">
        <v>2.5251427848333756E-3</v>
      </c>
      <c r="M50" s="4">
        <v>-3.6453296154456694E-4</v>
      </c>
      <c r="N50" s="4">
        <v>4.9898818825139463E-3</v>
      </c>
      <c r="O50" s="4">
        <v>2.5758370153503001E-3</v>
      </c>
      <c r="P50" s="4">
        <v>2.4266876978725547E-3</v>
      </c>
    </row>
    <row r="52" spans="1:16">
      <c r="A52" s="7" t="s">
        <v>21</v>
      </c>
      <c r="B52" s="9">
        <f>B18</f>
        <v>5.7785141782487136E-2</v>
      </c>
      <c r="C52" s="9">
        <f t="shared" ref="C52:P52" si="5">C18</f>
        <v>2.5754378646852202E-2</v>
      </c>
      <c r="D52" s="9">
        <f t="shared" si="5"/>
        <v>0.12482288642602504</v>
      </c>
      <c r="E52" s="9">
        <f t="shared" si="5"/>
        <v>6.3235106458402107E-2</v>
      </c>
      <c r="F52" s="9">
        <f t="shared" si="5"/>
        <v>8.1464318415940512E-2</v>
      </c>
      <c r="G52" s="9">
        <f t="shared" si="5"/>
        <v>5.0434826108439114E-2</v>
      </c>
      <c r="H52" s="9">
        <f t="shared" si="5"/>
        <v>7.4458512741564273E-2</v>
      </c>
      <c r="I52" s="9">
        <f t="shared" si="5"/>
        <v>4.5577535801187376E-2</v>
      </c>
      <c r="J52" s="9">
        <f t="shared" si="5"/>
        <v>3.7453817568063645E-2</v>
      </c>
      <c r="K52" s="9">
        <f t="shared" si="5"/>
        <v>3.6368643369244641E-2</v>
      </c>
      <c r="L52" s="9">
        <f t="shared" si="5"/>
        <v>0.11336534342161769</v>
      </c>
      <c r="M52" s="9">
        <f t="shared" si="5"/>
        <v>0.11525422307670588</v>
      </c>
      <c r="N52" s="9">
        <f t="shared" si="5"/>
        <v>0.11601069224226927</v>
      </c>
      <c r="O52" s="9">
        <f t="shared" si="5"/>
        <v>7.9775119803019851E-2</v>
      </c>
      <c r="P52" s="9">
        <f t="shared" si="5"/>
        <v>4.926142200416625E-2</v>
      </c>
    </row>
    <row r="54" spans="1:16">
      <c r="A54" s="7" t="s">
        <v>22</v>
      </c>
      <c r="B54" s="7" t="s">
        <v>1</v>
      </c>
      <c r="C54" s="7" t="s">
        <v>2</v>
      </c>
      <c r="D54" s="7" t="s">
        <v>3</v>
      </c>
      <c r="E54" s="7" t="s">
        <v>4</v>
      </c>
      <c r="F54" s="7" t="s">
        <v>55</v>
      </c>
      <c r="G54" s="7" t="s">
        <v>5</v>
      </c>
      <c r="H54" s="7" t="s">
        <v>6</v>
      </c>
      <c r="I54" s="7" t="s">
        <v>7</v>
      </c>
      <c r="J54" s="7" t="s">
        <v>8</v>
      </c>
      <c r="K54" s="7" t="s">
        <v>9</v>
      </c>
      <c r="L54" s="7" t="s">
        <v>10</v>
      </c>
      <c r="M54" s="7" t="s">
        <v>11</v>
      </c>
      <c r="N54" s="7" t="s">
        <v>12</v>
      </c>
      <c r="O54" s="7" t="s">
        <v>13</v>
      </c>
      <c r="P54" s="7" t="s">
        <v>14</v>
      </c>
    </row>
    <row r="55" spans="1:16">
      <c r="A55" s="7" t="s">
        <v>1</v>
      </c>
      <c r="B55" s="4">
        <f>B36/(B52*B52)</f>
        <v>1.0000000000000002</v>
      </c>
      <c r="C55" s="4">
        <f>$B37/($B$52*C$52)</f>
        <v>-0.13763995085240457</v>
      </c>
      <c r="D55" s="4">
        <f>$B38/($B$52*D$52)</f>
        <v>-0.67823977283899406</v>
      </c>
      <c r="E55" s="4">
        <f>$B39/($B$52*E$52)</f>
        <v>-5.5828192413728182E-2</v>
      </c>
      <c r="F55" s="4">
        <f>$B40/($B$52*F$52)</f>
        <v>-5.9418383621750809E-2</v>
      </c>
      <c r="G55" s="4">
        <f>$B41/($B$52*G$52)</f>
        <v>0.14051061868237374</v>
      </c>
      <c r="H55" s="4">
        <f>$B42/($B$52*H$52)</f>
        <v>-0.51324274239925771</v>
      </c>
      <c r="I55" s="4">
        <f>$B43/($B$52*I$52)</f>
        <v>-0.31608091643616654</v>
      </c>
      <c r="J55" s="4">
        <f>$B44/($B$52*J$52)</f>
        <v>-9.2998393133818996E-2</v>
      </c>
      <c r="K55" s="4">
        <f>$B45/($B$52*K$52)</f>
        <v>0.10657795671275444</v>
      </c>
      <c r="L55" s="4">
        <f>$B46/($B$52*L$52)</f>
        <v>0.29796038322295737</v>
      </c>
      <c r="M55" s="4">
        <f>$B47/($B$52*M$52)</f>
        <v>-0.14905179234071464</v>
      </c>
      <c r="N55" s="4">
        <f>$B48/($B$52*N$52)</f>
        <v>-0.19036462883163885</v>
      </c>
      <c r="O55" s="4">
        <f>$B49/($B$52*O$52)</f>
        <v>-0.17359903435433935</v>
      </c>
      <c r="P55" s="4">
        <f>$B50/($B$52*P$52)</f>
        <v>0.12539456830058085</v>
      </c>
    </row>
    <row r="56" spans="1:16">
      <c r="A56" s="7" t="s">
        <v>2</v>
      </c>
      <c r="B56" s="4">
        <f>$B37/($B$52*C$52)</f>
        <v>-0.13763995085240457</v>
      </c>
      <c r="C56" s="4">
        <v>1</v>
      </c>
      <c r="D56" s="4">
        <f>$C38/($C$52*D$52)</f>
        <v>0.25720641250577553</v>
      </c>
      <c r="E56" s="4">
        <f>$C39/($C$52*E$52)</f>
        <v>0.3802457482485781</v>
      </c>
      <c r="F56" s="4">
        <f>$C40/($C$52*F$52)</f>
        <v>0.2402310916837409</v>
      </c>
      <c r="G56" s="4">
        <f>$C41/($C$52*G$52)</f>
        <v>0.38336148090140121</v>
      </c>
      <c r="H56" s="4">
        <f>$C42/($C$52*H$52)</f>
        <v>0.19997078940847754</v>
      </c>
      <c r="I56" s="4">
        <f>$C43/($C$52*I$52)</f>
        <v>0.13963606359398811</v>
      </c>
      <c r="J56" s="4">
        <f>$C44/($C$52*J$52)</f>
        <v>6.4323435038271287E-2</v>
      </c>
      <c r="K56" s="4">
        <f>$C45/($C$52*K$52)</f>
        <v>0.36500932151380089</v>
      </c>
      <c r="L56" s="4">
        <f>$C46/($C$52*L$52)</f>
        <v>0.46845798351106982</v>
      </c>
      <c r="M56" s="4">
        <f>$C47/($C$52*M$52)</f>
        <v>0.32779240921175068</v>
      </c>
      <c r="N56" s="4">
        <f>$C48/($C$52*N$52)</f>
        <v>0.37994910578737423</v>
      </c>
      <c r="O56" s="4">
        <f>$C49/($C$52*O$52)</f>
        <v>0.21950206118472573</v>
      </c>
      <c r="P56" s="4">
        <f>$C50/($C$52*P$52)</f>
        <v>0.39180943677619218</v>
      </c>
    </row>
    <row r="57" spans="1:16">
      <c r="A57" s="7" t="s">
        <v>3</v>
      </c>
      <c r="B57" s="4">
        <f>$B38/($B$52*D$52)</f>
        <v>-0.67823977283899406</v>
      </c>
      <c r="C57" s="4">
        <f>$C38/($C$52*D$52)</f>
        <v>0.25720641250577553</v>
      </c>
      <c r="D57" s="4">
        <v>1</v>
      </c>
      <c r="E57" s="4">
        <f>$D39/($D$52*E$52)</f>
        <v>-8.2531406383704251E-3</v>
      </c>
      <c r="F57" s="4">
        <f>$D40/($D$52*F$52)</f>
        <v>0.17351989205614704</v>
      </c>
      <c r="G57" s="4">
        <f>$D41/($D$52*G$52)</f>
        <v>0.10746500185715069</v>
      </c>
      <c r="H57" s="4">
        <f>$D42/($D$52*H$52)</f>
        <v>0.83326726271383178</v>
      </c>
      <c r="I57" s="4">
        <f>$D43/($D$52*I$52)</f>
        <v>0.47920770344825664</v>
      </c>
      <c r="J57" s="4">
        <f>$D44/($D$52*J$52)</f>
        <v>0.15363181595099759</v>
      </c>
      <c r="K57" s="4">
        <f>$D45/($D$52*K$52)</f>
        <v>0.30940669381738067</v>
      </c>
      <c r="L57" s="4">
        <f>$D46/($D$52*L$52)</f>
        <v>6.8945456292313162E-2</v>
      </c>
      <c r="M57" s="4">
        <f>$D47/($D$52*M$52)</f>
        <v>9.9351534277632811E-2</v>
      </c>
      <c r="N57" s="4">
        <f>$D48/($D$52*N$52)</f>
        <v>0.46372602314951861</v>
      </c>
      <c r="O57" s="4">
        <f>$D49/($D$52*O$52)</f>
        <v>0.56592429984355708</v>
      </c>
      <c r="P57" s="4">
        <f>$D50/($D$52*P$52)</f>
        <v>0.28073093075925643</v>
      </c>
    </row>
    <row r="58" spans="1:16">
      <c r="A58" s="7" t="s">
        <v>4</v>
      </c>
      <c r="B58" s="4">
        <f>$B39/($B$52*E$52)</f>
        <v>-5.5828192413728182E-2</v>
      </c>
      <c r="C58" s="4">
        <f>$C39/($C$52*E$52)</f>
        <v>0.3802457482485781</v>
      </c>
      <c r="D58" s="4">
        <f>$D39/($D$52*E$52)</f>
        <v>-8.2531406383704251E-3</v>
      </c>
      <c r="E58" s="4">
        <v>1</v>
      </c>
      <c r="F58" s="4">
        <f>$E40/($E$52*F$52)</f>
        <v>-6.4297067166216262E-2</v>
      </c>
      <c r="G58" s="4">
        <f>$E41/($E$52*G$52)</f>
        <v>-6.930249212956284E-3</v>
      </c>
      <c r="H58" s="4">
        <f>$E42/($E$52*H$52)</f>
        <v>-4.4544140786847097E-2</v>
      </c>
      <c r="I58" s="4">
        <f>$E43/($E$52*I$52)</f>
        <v>-1.349566537870623E-2</v>
      </c>
      <c r="J58" s="4">
        <f>$E44/($E$52*J$52)</f>
        <v>2.7268310994991923E-2</v>
      </c>
      <c r="K58" s="4">
        <f>$E45/($E$52*K$52)</f>
        <v>4.0396427958746144E-2</v>
      </c>
      <c r="L58" s="4">
        <f>$E46/($E$52*L$52)</f>
        <v>8.3955107594987255E-2</v>
      </c>
      <c r="M58" s="4">
        <f>$E47/($E$52*M$52)</f>
        <v>0.42759034069340918</v>
      </c>
      <c r="N58" s="4">
        <f>$E48/($E$52*N$52)</f>
        <v>-0.10596490825724535</v>
      </c>
      <c r="O58" s="4">
        <f>$E49/($E$52*O$52)</f>
        <v>-0.17560969460968687</v>
      </c>
      <c r="P58" s="4">
        <f>$E50/($E$52*P$52)</f>
        <v>4.3603109876394207E-5</v>
      </c>
    </row>
    <row r="59" spans="1:16">
      <c r="A59" s="7" t="s">
        <v>55</v>
      </c>
      <c r="B59" s="4">
        <f>$B40/($B$52*F$52)</f>
        <v>-5.9418383621750809E-2</v>
      </c>
      <c r="C59" s="4">
        <f>$C40/($C$52*F$52)</f>
        <v>0.2402310916837409</v>
      </c>
      <c r="D59" s="4">
        <f>$D40/($D$52*F$52)</f>
        <v>0.17351989205614704</v>
      </c>
      <c r="E59" s="4">
        <f>$E40/($E$52*F$52)</f>
        <v>-6.4297067166216262E-2</v>
      </c>
      <c r="F59" s="4">
        <v>1</v>
      </c>
      <c r="G59" s="4">
        <f>$F41/($F$52*G$52)</f>
        <v>0.47333894154486084</v>
      </c>
      <c r="H59" s="4">
        <f>$F42/($F$52*H$52)</f>
        <v>0.31613446957463737</v>
      </c>
      <c r="I59" s="4">
        <f>$F43/($F$52*I$52)</f>
        <v>-5.5130599553776534E-2</v>
      </c>
      <c r="J59" s="4">
        <f>$F44/($F$52*J$52)</f>
        <v>-0.36175705337553504</v>
      </c>
      <c r="K59" s="4">
        <f>$F45/($F$52*K$52)</f>
        <v>0.23726846532681367</v>
      </c>
      <c r="L59" s="4">
        <f>$F46/($F$52*L$52)</f>
        <v>0.29825483723389257</v>
      </c>
      <c r="M59" s="4">
        <f>$F47/($F$52*M$52)</f>
        <v>0.34377003456061656</v>
      </c>
      <c r="N59" s="4">
        <f>$F48/($F$52*N$52)</f>
        <v>0.19129132601550888</v>
      </c>
      <c r="O59" s="4">
        <f>$F49/($F$52*O$52)</f>
        <v>0.61376269422722529</v>
      </c>
      <c r="P59" s="4">
        <f>$F50/($F$52*P$52)</f>
        <v>2.1790163658296311E-2</v>
      </c>
    </row>
    <row r="60" spans="1:16">
      <c r="A60" s="7" t="s">
        <v>5</v>
      </c>
      <c r="B60" s="4">
        <f>$B41/($B$52*G$52)</f>
        <v>0.14051061868237374</v>
      </c>
      <c r="C60" s="4">
        <f>$C41/($C$52*G$52)</f>
        <v>0.38336148090140121</v>
      </c>
      <c r="D60" s="4">
        <f>$D41/($D$52*G$52)</f>
        <v>0.10746500185715069</v>
      </c>
      <c r="E60" s="4">
        <f>$E41/($E$52*G$52)</f>
        <v>-6.930249212956284E-3</v>
      </c>
      <c r="F60" s="4">
        <f>$F41/($F$52*G$52)</f>
        <v>0.47333894154486084</v>
      </c>
      <c r="G60" s="4">
        <v>1</v>
      </c>
      <c r="H60" s="4">
        <f>$G42/($G$52*H$52)</f>
        <v>0.26992669604404512</v>
      </c>
      <c r="I60" s="4">
        <f>$G43/($G$52*I$52)</f>
        <v>0.11152470106227139</v>
      </c>
      <c r="J60" s="4">
        <f>$G44/($G$52*J$52)</f>
        <v>0.44032344731258216</v>
      </c>
      <c r="K60" s="4">
        <f>$G45/($G$52*K$52)</f>
        <v>0.34563323159227677</v>
      </c>
      <c r="L60" s="4">
        <f>$G46/($G$52*L$52)</f>
        <v>0.5151488627321763</v>
      </c>
      <c r="M60" s="4">
        <f>$G47/($G$52*M$52)</f>
        <v>0.47550447744971419</v>
      </c>
      <c r="N60" s="4">
        <f>$G48/($G$52*N$52)</f>
        <v>0.27340154377268294</v>
      </c>
      <c r="O60" s="4">
        <f>$G49/($G$52*O$52)</f>
        <v>0.50247645636307259</v>
      </c>
      <c r="P60" s="4">
        <f>$G50/($G$52*P$52)</f>
        <v>0.43399079871631213</v>
      </c>
    </row>
    <row r="61" spans="1:16">
      <c r="A61" s="7" t="s">
        <v>6</v>
      </c>
      <c r="B61" s="4">
        <f>$B42/($B$52*H$52)</f>
        <v>-0.51324274239925771</v>
      </c>
      <c r="C61" s="4">
        <f>$C42/($C$52*H$52)</f>
        <v>0.19997078940847754</v>
      </c>
      <c r="D61" s="4">
        <f>$D42/($D$52*H$52)</f>
        <v>0.83326726271383178</v>
      </c>
      <c r="E61" s="4">
        <f>$E42/($E$52*H$52)</f>
        <v>-4.4544140786847097E-2</v>
      </c>
      <c r="F61" s="4">
        <f>$F42/($F$52*H$52)</f>
        <v>0.31613446957463737</v>
      </c>
      <c r="G61" s="4">
        <f>$G42/($G$52*H$52)</f>
        <v>0.26992669604404512</v>
      </c>
      <c r="H61" s="4">
        <v>1</v>
      </c>
      <c r="I61" s="4">
        <f>$H43/($H$52*I$52)</f>
        <v>0.78310034533081707</v>
      </c>
      <c r="J61" s="4">
        <f>$H44/($H$52*J$52)</f>
        <v>2.7252259781174622E-2</v>
      </c>
      <c r="K61" s="4">
        <f>$H45/($H$52*K$52)</f>
        <v>0.69935955538347572</v>
      </c>
      <c r="L61" s="4">
        <f>$H46/($H$52*L$52)</f>
        <v>0.19122278667989426</v>
      </c>
      <c r="M61" s="4">
        <f>$H47/($H$52*M$52)</f>
        <v>0.16269588675633415</v>
      </c>
      <c r="N61" s="4">
        <f>$H48/($H$52*N$52)</f>
        <v>0.6563351916492679</v>
      </c>
      <c r="O61" s="4">
        <f>$H49/($H$52*O$52)</f>
        <v>0.77304181236978942</v>
      </c>
      <c r="P61" s="4">
        <f>$H50/($H$52*P$52)</f>
        <v>0.51871065175037756</v>
      </c>
    </row>
    <row r="62" spans="1:16">
      <c r="A62" s="7" t="s">
        <v>7</v>
      </c>
      <c r="B62" s="4">
        <f>$B43/($B$52*I$52)</f>
        <v>-0.31608091643616654</v>
      </c>
      <c r="C62" s="4">
        <f>$C43/($C$52*I$52)</f>
        <v>0.13963606359398811</v>
      </c>
      <c r="D62" s="4">
        <f>$D43/($D$52*I$52)</f>
        <v>0.47920770344825664</v>
      </c>
      <c r="E62" s="4">
        <f>$E43/($E$52*I$52)</f>
        <v>-1.349566537870623E-2</v>
      </c>
      <c r="F62" s="4">
        <f>$F43/($F$52*I$52)</f>
        <v>-5.5130599553776534E-2</v>
      </c>
      <c r="G62" s="4">
        <f>$G43/($G$52*I$52)</f>
        <v>0.11152470106227139</v>
      </c>
      <c r="H62" s="4">
        <f>$H43/($H$52*I$52)</f>
        <v>0.78310034533081707</v>
      </c>
      <c r="I62" s="4">
        <v>1</v>
      </c>
      <c r="J62" s="4">
        <f>$I44/($I$52*J$52)</f>
        <v>8.1170209449007269E-2</v>
      </c>
      <c r="K62" s="4">
        <f>$I45/($I$52*K$52)</f>
        <v>0.7772422693531712</v>
      </c>
      <c r="L62" s="4">
        <f>$I46/($I$52*L$52)</f>
        <v>0.26469217405748918</v>
      </c>
      <c r="M62" s="4">
        <f>$I47/($I$52*M$52)</f>
        <v>8.0475543302978292E-2</v>
      </c>
      <c r="N62" s="4">
        <f>$I48/($I$52*N$52)</f>
        <v>0.60895491043022576</v>
      </c>
      <c r="O62" s="4">
        <f>$I49/($I$52*O$52)</f>
        <v>0.55089250406226808</v>
      </c>
      <c r="P62" s="4">
        <f>$I50/($I$52*P$52)</f>
        <v>0.64041226740112911</v>
      </c>
    </row>
    <row r="63" spans="1:16">
      <c r="A63" s="7" t="s">
        <v>54</v>
      </c>
      <c r="B63" s="4">
        <f>$B44/($B$52*J$52)</f>
        <v>-9.2998393133818996E-2</v>
      </c>
      <c r="C63" s="4">
        <f>$C44/($C$52*J$52)</f>
        <v>6.4323435038271287E-2</v>
      </c>
      <c r="D63" s="4">
        <f>$D44/($D$52*J$52)</f>
        <v>0.15363181595099759</v>
      </c>
      <c r="E63" s="4">
        <f>$E44/($E$52*J$52)</f>
        <v>2.7268310994991923E-2</v>
      </c>
      <c r="F63" s="4">
        <f>$F44/($F$52*J$52)</f>
        <v>-0.36175705337553504</v>
      </c>
      <c r="G63" s="4">
        <f>$G44/($G$52*J$52)</f>
        <v>0.44032344731258216</v>
      </c>
      <c r="H63" s="4">
        <f>$H44/($H$52*J$52)</f>
        <v>2.7252259781174622E-2</v>
      </c>
      <c r="I63" s="4">
        <f>$I44/($I$52*J$52)</f>
        <v>8.1170209449007269E-2</v>
      </c>
      <c r="J63" s="4">
        <v>1</v>
      </c>
      <c r="K63" s="4">
        <f>$J45/($J$52*K$52)</f>
        <v>-0.14713099318694095</v>
      </c>
      <c r="L63" s="4">
        <f>$J46/($J$52*L$52)</f>
        <v>-8.5453298830792682E-2</v>
      </c>
      <c r="M63" s="4">
        <f>$J47/($J$52*M$52)</f>
        <v>0.48293440520221187</v>
      </c>
      <c r="N63" s="4">
        <f>$J48/($J$52*N$52)</f>
        <v>-0.20565488285197858</v>
      </c>
      <c r="O63" s="4">
        <f>$J49/($J$52*O$52)</f>
        <v>-6.6871857519670549E-2</v>
      </c>
      <c r="P63" s="4">
        <f>$J50/($J$52*P$52)</f>
        <v>3.4015716819438796E-2</v>
      </c>
    </row>
    <row r="64" spans="1:16">
      <c r="A64" s="7" t="s">
        <v>51</v>
      </c>
      <c r="B64" s="4">
        <f>$B45/($B$52*K$52)</f>
        <v>0.10657795671275444</v>
      </c>
      <c r="C64" s="4">
        <f>$C45/($C$52*K$52)</f>
        <v>0.36500932151380089</v>
      </c>
      <c r="D64" s="4">
        <f>$D45/($D$52*K$52)</f>
        <v>0.30940669381738067</v>
      </c>
      <c r="E64" s="4">
        <f>$E45/($E$52*K$52)</f>
        <v>4.0396427958746144E-2</v>
      </c>
      <c r="F64" s="4">
        <f>$F45/($F$52*K$52)</f>
        <v>0.23726846532681367</v>
      </c>
      <c r="G64" s="4">
        <f>$G45/($G$52*K$52)</f>
        <v>0.34563323159227677</v>
      </c>
      <c r="H64" s="4">
        <f>$H45/($H$52*K$52)</f>
        <v>0.69935955538347572</v>
      </c>
      <c r="I64" s="4">
        <f>$I45/($I$52*K$52)</f>
        <v>0.7772422693531712</v>
      </c>
      <c r="J64" s="4">
        <f>$J45/($J$52*K$52)</f>
        <v>-0.14713099318694095</v>
      </c>
      <c r="K64" s="4">
        <v>1</v>
      </c>
      <c r="L64" s="4">
        <f>$K46/($K$52*L$52)</f>
        <v>0.56167333175656986</v>
      </c>
      <c r="M64" s="4">
        <f>$K47/($K$52*M$52)</f>
        <v>3.0040933286064827E-2</v>
      </c>
      <c r="N64" s="4">
        <f>$K48/($K$52*N$52)</f>
        <v>0.68107936593705054</v>
      </c>
      <c r="O64" s="4">
        <f>$K49/($K$52*O$52)</f>
        <v>0.60629902796005897</v>
      </c>
      <c r="P64" s="4">
        <f>$K50/($K$52*P$52)</f>
        <v>0.74113833820350938</v>
      </c>
    </row>
    <row r="65" spans="1:16">
      <c r="A65" s="7" t="s">
        <v>10</v>
      </c>
      <c r="B65" s="4">
        <f>$B46/($B$52*L$52)</f>
        <v>0.29796038322295737</v>
      </c>
      <c r="C65" s="4">
        <f>$C46/($C$52*L$52)</f>
        <v>0.46845798351106982</v>
      </c>
      <c r="D65" s="4">
        <f>$D46/($D$52*L$52)</f>
        <v>6.8945456292313162E-2</v>
      </c>
      <c r="E65" s="4">
        <f>$E46/($E$52*L$52)</f>
        <v>8.3955107594987255E-2</v>
      </c>
      <c r="F65" s="4">
        <f>$F46/($F$52*L$52)</f>
        <v>0.29825483723389257</v>
      </c>
      <c r="G65" s="4">
        <f>$G46/($G$52*L$52)</f>
        <v>0.5151488627321763</v>
      </c>
      <c r="H65" s="4">
        <f>$H46/($H$52*L$52)</f>
        <v>0.19122278667989426</v>
      </c>
      <c r="I65" s="4">
        <f>$I46/($I$52*L$52)</f>
        <v>0.26469217405748918</v>
      </c>
      <c r="J65" s="4">
        <f>$J46/($J$52*L$52)</f>
        <v>-8.5453298830792682E-2</v>
      </c>
      <c r="K65" s="4">
        <f>$K46/($K$52*L$52)</f>
        <v>0.56167333175656986</v>
      </c>
      <c r="L65" s="4">
        <v>1</v>
      </c>
      <c r="M65" s="4">
        <f>$L47/($L$52*M$52)</f>
        <v>-4.6404892526739967E-2</v>
      </c>
      <c r="N65" s="4">
        <f>$L48/($L$52*N$52)</f>
        <v>0.26363332223222491</v>
      </c>
      <c r="O65" s="4">
        <f>$L49/($L$52*O$52)</f>
        <v>0.25936821032675877</v>
      </c>
      <c r="P65" s="4">
        <f>$L50/($L$52*P$52)</f>
        <v>0.45216681746294429</v>
      </c>
    </row>
    <row r="66" spans="1:16">
      <c r="A66" s="7" t="s">
        <v>11</v>
      </c>
      <c r="B66" s="4">
        <f>$B47/($B$52*M$52)</f>
        <v>-0.14905179234071464</v>
      </c>
      <c r="C66" s="4">
        <f>$C47/($C$52*M$52)</f>
        <v>0.32779240921175068</v>
      </c>
      <c r="D66" s="4">
        <f>$D47/($D$52*M$52)</f>
        <v>9.9351534277632811E-2</v>
      </c>
      <c r="E66" s="4">
        <f>$E47/($E$52*M$52)</f>
        <v>0.42759034069340918</v>
      </c>
      <c r="F66" s="4">
        <f>$F47/($F$52*M$52)</f>
        <v>0.34377003456061656</v>
      </c>
      <c r="G66" s="4">
        <f>$G47/($G$52*M$52)</f>
        <v>0.47550447744971419</v>
      </c>
      <c r="H66" s="4">
        <f>$H47/($H$52*M$52)</f>
        <v>0.16269588675633415</v>
      </c>
      <c r="I66" s="4">
        <f>$I47/($I$52*M$52)</f>
        <v>8.0475543302978292E-2</v>
      </c>
      <c r="J66" s="4">
        <f>$J47/($J$52*M$52)</f>
        <v>0.48293440520221187</v>
      </c>
      <c r="K66" s="4">
        <f>$K47/($K$52*M$52)</f>
        <v>3.0040933286064827E-2</v>
      </c>
      <c r="L66" s="4">
        <f>$L47/($L$52*M$52)</f>
        <v>-4.6404892526739967E-2</v>
      </c>
      <c r="M66" s="4">
        <v>1</v>
      </c>
      <c r="N66" s="4">
        <f>$M48/($M$52*N$52)</f>
        <v>-0.21363385858406103</v>
      </c>
      <c r="O66" s="4">
        <f>$M49/($M$52*O$52)</f>
        <v>0.26875022886565353</v>
      </c>
      <c r="P66" s="4">
        <f>$M50/($M$52*P$52)</f>
        <v>-6.4205615278683001E-2</v>
      </c>
    </row>
    <row r="67" spans="1:16">
      <c r="A67" s="7" t="s">
        <v>12</v>
      </c>
      <c r="B67" s="4">
        <f>$B48/($B$52*N$52)</f>
        <v>-0.19036462883163885</v>
      </c>
      <c r="C67" s="4">
        <f>$C48/($C$52*N$52)</f>
        <v>0.37994910578737423</v>
      </c>
      <c r="D67" s="4">
        <f>$D48/($D$52*N$52)</f>
        <v>0.46372602314951861</v>
      </c>
      <c r="E67" s="4">
        <f>$E48/($E$52*N$52)</f>
        <v>-0.10596490825724535</v>
      </c>
      <c r="F67" s="4">
        <f>$F48/($F$52*N$52)</f>
        <v>0.19129132601550888</v>
      </c>
      <c r="G67" s="4">
        <f>$G48/($G$52*N$52)</f>
        <v>0.27340154377268294</v>
      </c>
      <c r="H67" s="4">
        <f>$H48/($H$52*N$52)</f>
        <v>0.6563351916492679</v>
      </c>
      <c r="I67" s="4">
        <f>$I48/($I$52*N$52)</f>
        <v>0.60895491043022576</v>
      </c>
      <c r="J67" s="4">
        <f>$J48/($J$52*N$52)</f>
        <v>-0.20565488285197858</v>
      </c>
      <c r="K67" s="4">
        <f>$K48/($K$52*N$52)</f>
        <v>0.68107936593705054</v>
      </c>
      <c r="L67" s="4">
        <f>$L48/($L$52*N$52)</f>
        <v>0.26363332223222491</v>
      </c>
      <c r="M67" s="4">
        <f>$M48/($M$52*N$52)</f>
        <v>-0.21363385858406103</v>
      </c>
      <c r="N67" s="4">
        <v>1</v>
      </c>
      <c r="O67" s="4">
        <f>$N49/($N$52*O$52)</f>
        <v>0.71315435482696099</v>
      </c>
      <c r="P67" s="4">
        <f>$N50/($N$52*P$52)</f>
        <v>0.87314285178292905</v>
      </c>
    </row>
    <row r="68" spans="1:16">
      <c r="A68" s="7" t="s">
        <v>13</v>
      </c>
      <c r="B68" s="4">
        <f>$B49/($B$52*O$52)</f>
        <v>-0.17359903435433935</v>
      </c>
      <c r="C68" s="4">
        <f>$C49/($C$52*O$52)</f>
        <v>0.21950206118472573</v>
      </c>
      <c r="D68" s="4">
        <f>$D49/($D$52*O$52)</f>
        <v>0.56592429984355708</v>
      </c>
      <c r="E68" s="4">
        <f>$E49/($E$52*O$52)</f>
        <v>-0.17560969460968687</v>
      </c>
      <c r="F68" s="4">
        <f>$F49/($F$52*O$52)</f>
        <v>0.61376269422722529</v>
      </c>
      <c r="G68" s="4">
        <f>$G49/($G$52*O$52)</f>
        <v>0.50247645636307259</v>
      </c>
      <c r="H68" s="4">
        <f>$H49/($H$52*O$52)</f>
        <v>0.77304181236978942</v>
      </c>
      <c r="I68" s="4">
        <f>$I49/($I$52*O$52)</f>
        <v>0.55089250406226808</v>
      </c>
      <c r="J68" s="4">
        <f>$J49/($J$52*O$52)</f>
        <v>-6.6871857519670549E-2</v>
      </c>
      <c r="K68" s="4">
        <f>$K49/($K$52*O$52)</f>
        <v>0.60629902796005897</v>
      </c>
      <c r="L68" s="4">
        <f>$L49/($L$52*O$52)</f>
        <v>0.25936821032675877</v>
      </c>
      <c r="M68" s="4">
        <f>$M49/($M$52*O$52)</f>
        <v>0.26875022886565353</v>
      </c>
      <c r="N68" s="4">
        <f>$N49/($N$52*O$52)</f>
        <v>0.71315435482696099</v>
      </c>
      <c r="O68" s="4">
        <v>1</v>
      </c>
      <c r="P68" s="4">
        <f>$O50/($O$52*P$52)</f>
        <v>0.65545664472512777</v>
      </c>
    </row>
    <row r="69" spans="1:16">
      <c r="A69" s="7" t="s">
        <v>14</v>
      </c>
      <c r="B69" s="4">
        <f>$B50/($B$52*P$52)</f>
        <v>0.12539456830058085</v>
      </c>
      <c r="C69" s="4">
        <f>$C50/($C$52*P$52)</f>
        <v>0.39180943677619218</v>
      </c>
      <c r="D69" s="4">
        <f>$D50/($D$52*P$52)</f>
        <v>0.28073093075925643</v>
      </c>
      <c r="E69" s="4">
        <f>$E50/($E$52*P$52)</f>
        <v>4.3603109876394207E-5</v>
      </c>
      <c r="F69" s="4">
        <f>$F50/($F$52*P$52)</f>
        <v>2.1790163658296311E-2</v>
      </c>
      <c r="G69" s="4">
        <f>$G50/($G$52*P$52)</f>
        <v>0.43399079871631213</v>
      </c>
      <c r="H69" s="4">
        <f>$H50/($H$52*P$52)</f>
        <v>0.51871065175037756</v>
      </c>
      <c r="I69" s="4">
        <f>$I50/($I$52*P$52)</f>
        <v>0.64041226740112911</v>
      </c>
      <c r="J69" s="4">
        <f>$J50/($J$52*P$52)</f>
        <v>3.4015716819438796E-2</v>
      </c>
      <c r="K69" s="4">
        <f>$K50/($K$52*P$52)</f>
        <v>0.74113833820350938</v>
      </c>
      <c r="L69" s="4">
        <f>$L50/($L$52*P$52)</f>
        <v>0.45216681746294429</v>
      </c>
      <c r="M69" s="4">
        <f>$M50/($M$52*P$52)</f>
        <v>-6.4205615278683001E-2</v>
      </c>
      <c r="N69" s="4">
        <f>$N50/($N$52*P$52)</f>
        <v>0.87314285178292905</v>
      </c>
      <c r="O69" s="4">
        <f>$O50/($O$52*P$52)</f>
        <v>0.65545664472512777</v>
      </c>
      <c r="P69" s="4">
        <v>1</v>
      </c>
    </row>
    <row r="71" spans="1:16">
      <c r="A71" s="4" t="s">
        <v>23</v>
      </c>
      <c r="B71" s="7" t="s">
        <v>1</v>
      </c>
      <c r="C71" s="7" t="s">
        <v>2</v>
      </c>
      <c r="D71" s="7" t="s">
        <v>3</v>
      </c>
      <c r="E71" s="7" t="s">
        <v>4</v>
      </c>
      <c r="F71" s="7" t="s">
        <v>55</v>
      </c>
      <c r="G71" s="7" t="s">
        <v>5</v>
      </c>
      <c r="H71" s="7" t="s">
        <v>6</v>
      </c>
      <c r="I71" s="7" t="s">
        <v>7</v>
      </c>
      <c r="J71" s="7" t="s">
        <v>8</v>
      </c>
      <c r="K71" s="7" t="s">
        <v>9</v>
      </c>
      <c r="L71" s="7" t="s">
        <v>10</v>
      </c>
      <c r="M71" s="7" t="s">
        <v>11</v>
      </c>
      <c r="N71" s="7" t="s">
        <v>12</v>
      </c>
      <c r="O71" s="7" t="s">
        <v>13</v>
      </c>
      <c r="P71" s="7" t="s">
        <v>14</v>
      </c>
    </row>
    <row r="72" spans="1:16">
      <c r="A72" s="7" t="s">
        <v>1</v>
      </c>
      <c r="B72" s="4">
        <f t="array" ref="B72:P86">MINVERSE(B36:P50)</f>
        <v>1.070816383947006E+16</v>
      </c>
      <c r="C72" s="4">
        <v>9640675080534972</v>
      </c>
      <c r="D72" s="4">
        <v>1.8226354209450678E+17</v>
      </c>
      <c r="E72" s="4">
        <v>-1.9973842001743524E+16</v>
      </c>
      <c r="F72" s="4">
        <v>4.6257110993881664E+17</v>
      </c>
      <c r="G72" s="4">
        <v>1.0220109904917653E+17</v>
      </c>
      <c r="H72" s="4">
        <v>-2.0929117794890138E+17</v>
      </c>
      <c r="I72" s="4">
        <v>4.4201290223697754E+17</v>
      </c>
      <c r="J72" s="10">
        <v>-4.347540509292884E+16</v>
      </c>
      <c r="K72" s="10">
        <v>-4.7430362004810248E+16</v>
      </c>
      <c r="L72" s="10">
        <v>-1.9446609398268883E+17</v>
      </c>
      <c r="M72" s="10">
        <v>-9.6846926446789152E+16</v>
      </c>
      <c r="N72" s="10">
        <v>-3.1263455415494016E+17</v>
      </c>
      <c r="O72" s="10">
        <v>-4.5109607499698714E+17</v>
      </c>
      <c r="P72" s="10">
        <v>1.0434703363024428E+18</v>
      </c>
    </row>
    <row r="73" spans="1:16">
      <c r="A73" s="7" t="s">
        <v>2</v>
      </c>
      <c r="B73" s="4">
        <v>-7.2963281368816947E+17</v>
      </c>
      <c r="C73" s="4">
        <v>-1.2921427922352028E+18</v>
      </c>
      <c r="D73" s="4">
        <v>6.12904176085136E+16</v>
      </c>
      <c r="E73" s="4">
        <v>-1.0808905823864907E+17</v>
      </c>
      <c r="F73" s="4">
        <v>-3.5359553184647846E+17</v>
      </c>
      <c r="G73" s="4">
        <v>-3.6816161712080602E+17</v>
      </c>
      <c r="H73" s="4">
        <v>-7.5430041492542502E+17</v>
      </c>
      <c r="I73" s="4">
        <v>-1.2244949314779645E+18</v>
      </c>
      <c r="J73" s="4">
        <v>1.752550540939976E+17</v>
      </c>
      <c r="K73" s="4">
        <v>1.9534640066874949E+18</v>
      </c>
      <c r="L73" s="4">
        <v>2.4157907087181702E+17</v>
      </c>
      <c r="M73" s="4">
        <v>2.9682099628369242E+17</v>
      </c>
      <c r="N73" s="4">
        <v>2.8886574901286701E+17</v>
      </c>
      <c r="O73" s="4">
        <v>3.1847419253311475E+17</v>
      </c>
      <c r="P73" s="4">
        <v>-3.9054923753680358E+17</v>
      </c>
    </row>
    <row r="74" spans="1:16">
      <c r="A74" s="7" t="s">
        <v>3</v>
      </c>
      <c r="B74" s="4">
        <v>5.7467775965456712E+16</v>
      </c>
      <c r="C74" s="4">
        <v>6.3980691264717248E+17</v>
      </c>
      <c r="D74" s="4">
        <v>-7.9893567284290384E+16</v>
      </c>
      <c r="E74" s="4">
        <v>1.3143221616543736E+17</v>
      </c>
      <c r="F74" s="4">
        <v>-6.6039234918796432E+16</v>
      </c>
      <c r="G74" s="4">
        <v>2.3244342622921958E+17</v>
      </c>
      <c r="H74" s="4">
        <v>9.7671965998574192E+16</v>
      </c>
      <c r="I74" s="4">
        <v>2.861096584263232E+17</v>
      </c>
      <c r="J74" s="4">
        <v>-8256064845132681</v>
      </c>
      <c r="K74" s="4">
        <v>-2.211615719108664E+17</v>
      </c>
      <c r="L74" s="4">
        <v>-1.0125161559598019E+17</v>
      </c>
      <c r="M74" s="4">
        <v>-2.2249533936591066E+17</v>
      </c>
      <c r="N74" s="4">
        <v>-1.9553391290457309E+17</v>
      </c>
      <c r="O74" s="4">
        <v>3.1263536473189434E+17</v>
      </c>
      <c r="P74" s="4">
        <v>-1.6631448812011917E+17</v>
      </c>
    </row>
    <row r="75" spans="1:16">
      <c r="A75" s="7" t="s">
        <v>4</v>
      </c>
      <c r="B75" s="4">
        <v>-1.6198226767813584E+17</v>
      </c>
      <c r="C75" s="4">
        <v>-3.4470891242510861E+17</v>
      </c>
      <c r="D75" s="4">
        <v>-1.2428160821158636E+16</v>
      </c>
      <c r="E75" s="4">
        <v>-3.1069876747855544E+16</v>
      </c>
      <c r="F75" s="4">
        <v>-1.8016283910010272E+17</v>
      </c>
      <c r="G75" s="4">
        <v>-1.0772965482531797E+17</v>
      </c>
      <c r="H75" s="4">
        <v>-1.4414650315755926E+17</v>
      </c>
      <c r="I75" s="4">
        <v>-3.7603439403190938E+17</v>
      </c>
      <c r="J75" s="4">
        <v>3.1741753240650216E+16</v>
      </c>
      <c r="K75" s="4">
        <v>4.6224493955589088E+17</v>
      </c>
      <c r="L75" s="4">
        <v>1.0296707876722483E+17</v>
      </c>
      <c r="M75" s="4">
        <v>1.0804879253976886E+17</v>
      </c>
      <c r="N75" s="4">
        <v>1.5389228384337181E+17</v>
      </c>
      <c r="O75" s="4">
        <v>1.4344046669987386E+17</v>
      </c>
      <c r="P75" s="4">
        <v>-3.1989523648790387E+17</v>
      </c>
    </row>
    <row r="76" spans="1:16">
      <c r="A76" s="7" t="s">
        <v>55</v>
      </c>
      <c r="B76" s="4">
        <v>-6292310069502751</v>
      </c>
      <c r="C76" s="4">
        <v>1.3608697025263811E+18</v>
      </c>
      <c r="D76" s="4">
        <v>-2.1941327048057827E+17</v>
      </c>
      <c r="E76" s="4">
        <v>2.8927670955045965E+17</v>
      </c>
      <c r="F76" s="4">
        <v>-3.7335294808929576E+16</v>
      </c>
      <c r="G76" s="4">
        <v>3.4529458745171366E+17</v>
      </c>
      <c r="H76" s="4">
        <v>2.7047021057651872E+17</v>
      </c>
      <c r="I76" s="4">
        <v>4.4458501833417101E+17</v>
      </c>
      <c r="J76" s="4">
        <v>1.7171093181788822E+17</v>
      </c>
      <c r="K76" s="4">
        <v>-3.3677285431560717E+17</v>
      </c>
      <c r="L76" s="4">
        <v>-2.2397401936849462E+17</v>
      </c>
      <c r="M76" s="4">
        <v>-5.191176962546201E+17</v>
      </c>
      <c r="N76" s="4">
        <v>-5.2385787684977382E+17</v>
      </c>
      <c r="O76" s="4">
        <v>6.5498034208883571E+17</v>
      </c>
      <c r="P76" s="4">
        <v>-3.2480665176482244E+16</v>
      </c>
    </row>
    <row r="77" spans="1:16">
      <c r="A77" s="7" t="s">
        <v>5</v>
      </c>
      <c r="B77" s="4">
        <v>-2.8818792537822109E+17</v>
      </c>
      <c r="C77" s="4">
        <v>-2.2642357598863277E+17</v>
      </c>
      <c r="D77" s="4">
        <v>-6717270674968882</v>
      </c>
      <c r="E77" s="4">
        <v>3.5939896394486596E+16</v>
      </c>
      <c r="F77" s="4">
        <v>-3.2202871384283814E+17</v>
      </c>
      <c r="G77" s="4">
        <v>5.3147686152975408E+16</v>
      </c>
      <c r="H77" s="4">
        <v>-3.6925111946920678E+17</v>
      </c>
      <c r="I77" s="4">
        <v>-3.8465300928675347E+17</v>
      </c>
      <c r="J77" s="4">
        <v>-1.3441526934601232E+16</v>
      </c>
      <c r="K77" s="4">
        <v>8.3856656157295194E+17</v>
      </c>
      <c r="L77" s="4">
        <v>6.884813497253508E+16</v>
      </c>
      <c r="M77" s="4">
        <v>2.3759469373406604E+16</v>
      </c>
      <c r="N77" s="4">
        <v>8.3247303896501456E+16</v>
      </c>
      <c r="O77" s="4">
        <v>4.3837070184421875E+17</v>
      </c>
      <c r="P77" s="4">
        <v>-5.6409619578445082E+17</v>
      </c>
    </row>
    <row r="78" spans="1:16">
      <c r="A78" s="7" t="s">
        <v>6</v>
      </c>
      <c r="B78" s="4">
        <v>-465871438185646.69</v>
      </c>
      <c r="C78" s="4">
        <v>-6.4680915395260006E+17</v>
      </c>
      <c r="D78" s="4">
        <v>2.3946729172869418E+17</v>
      </c>
      <c r="E78" s="4">
        <v>-1.7737685157892294E+17</v>
      </c>
      <c r="F78" s="4">
        <v>6.3160993329312909E+17</v>
      </c>
      <c r="G78" s="4">
        <v>-2.4315336065179434E+17</v>
      </c>
      <c r="H78" s="4">
        <v>-1.5082007822937232E+17</v>
      </c>
      <c r="I78" s="4">
        <v>1.4249408754483629E+17</v>
      </c>
      <c r="J78" s="4">
        <v>3.8375458290137064E+16</v>
      </c>
      <c r="K78" s="4">
        <v>-3.1319058612149904E+16</v>
      </c>
      <c r="L78" s="4">
        <v>-8.3423059972352096E+16</v>
      </c>
      <c r="M78" s="4">
        <v>1.4531438117172326E+17</v>
      </c>
      <c r="N78" s="4">
        <v>-1.1852839852652933E+17</v>
      </c>
      <c r="O78" s="4">
        <v>-9.1267677745270029E+17</v>
      </c>
      <c r="P78" s="4">
        <v>1.4186030755939336E+18</v>
      </c>
    </row>
    <row r="79" spans="1:16">
      <c r="A79" s="7" t="s">
        <v>7</v>
      </c>
      <c r="B79" s="4">
        <v>-3.5789708123307917E+17</v>
      </c>
      <c r="C79" s="4">
        <v>6.2796335707353562E+17</v>
      </c>
      <c r="D79" s="4">
        <v>-3.770945890114924E+16</v>
      </c>
      <c r="E79" s="4">
        <v>2.2001919515994096E+17</v>
      </c>
      <c r="F79" s="4">
        <v>-8.3800032249960368E+16</v>
      </c>
      <c r="G79" s="4">
        <v>3.3473263587261638E+17</v>
      </c>
      <c r="H79" s="4">
        <v>-3.9088507190432928E+17</v>
      </c>
      <c r="I79" s="4">
        <v>1.0392566115357002E+17</v>
      </c>
      <c r="J79" s="4">
        <v>9.5512694955980928E+16</v>
      </c>
      <c r="K79" s="4">
        <v>7.6274102057615731E+17</v>
      </c>
      <c r="L79" s="4">
        <v>-1.9532034320763994E+17</v>
      </c>
      <c r="M79" s="4">
        <v>-3.8251613156200211E+17</v>
      </c>
      <c r="N79" s="4">
        <v>-4.676239311865769E+17</v>
      </c>
      <c r="O79" s="4">
        <v>6.4723277509473434E+17</v>
      </c>
      <c r="P79" s="4">
        <v>5.050538619419556E+16</v>
      </c>
    </row>
    <row r="80" spans="1:16">
      <c r="A80" s="7" t="s">
        <v>54</v>
      </c>
      <c r="B80" s="4">
        <v>-1.43679158956925E+16</v>
      </c>
      <c r="C80" s="4">
        <v>-1.2935227149681619E+17</v>
      </c>
      <c r="D80" s="4">
        <v>-7.7953535408185632E+16</v>
      </c>
      <c r="E80" s="4">
        <v>-3.0082811551482936E+16</v>
      </c>
      <c r="F80" s="4">
        <v>-7.3886728910661504E+16</v>
      </c>
      <c r="G80" s="4">
        <v>-1.8184668968549472E+17</v>
      </c>
      <c r="H80" s="4">
        <v>1.6932494530636653E+17</v>
      </c>
      <c r="I80" s="4">
        <v>-2.5998082716351504E+17</v>
      </c>
      <c r="J80" s="4">
        <v>1.0436282504172661E+17</v>
      </c>
      <c r="K80" s="4">
        <v>-3.8429559546823344E+16</v>
      </c>
      <c r="L80" s="4">
        <v>9.4510394231027216E+16</v>
      </c>
      <c r="M80" s="4">
        <v>7.8036912579868928E+16</v>
      </c>
      <c r="N80" s="4">
        <v>1.2660808708555394E+17</v>
      </c>
      <c r="O80" s="4">
        <v>1.7502038592336822E+16</v>
      </c>
      <c r="P80" s="4">
        <v>-1.5839615942746634E+17</v>
      </c>
    </row>
    <row r="81" spans="1:23">
      <c r="A81" s="7" t="s">
        <v>51</v>
      </c>
      <c r="B81" s="4">
        <v>8.7852847251526464E+16</v>
      </c>
      <c r="C81" s="4">
        <v>1.011100673700673E+17</v>
      </c>
      <c r="D81" s="4">
        <v>-3.7720423359228826E+17</v>
      </c>
      <c r="E81" s="4">
        <v>5.8486871343148264E+16</v>
      </c>
      <c r="F81" s="4">
        <v>-1.0788828446271549E+18</v>
      </c>
      <c r="G81" s="4">
        <v>-8.1008425806715664E+16</v>
      </c>
      <c r="H81" s="4">
        <v>4.4588427894108326E+17</v>
      </c>
      <c r="I81" s="4">
        <v>-7.843814795772343E+17</v>
      </c>
      <c r="J81" s="4">
        <v>-3.713220959711232E+16</v>
      </c>
      <c r="K81" s="4">
        <v>-6.3146464948173928E+16</v>
      </c>
      <c r="L81" s="4">
        <v>4.0956810315629376E+17</v>
      </c>
      <c r="M81" s="4">
        <v>2.0291471832301414E+17</v>
      </c>
      <c r="N81" s="4">
        <v>7.1901480161926528E+17</v>
      </c>
      <c r="O81" s="4">
        <v>1.0278816517841555E+18</v>
      </c>
      <c r="P81" s="4">
        <v>-2.504994078374827E+18</v>
      </c>
    </row>
    <row r="82" spans="1:23">
      <c r="A82" s="7" t="s">
        <v>10</v>
      </c>
      <c r="B82" s="4">
        <v>1.6407364119564195E+17</v>
      </c>
      <c r="C82" s="4">
        <v>-2.841145288973904E+17</v>
      </c>
      <c r="D82" s="4">
        <v>1.0334999908354872E+17</v>
      </c>
      <c r="E82" s="4">
        <v>-1.0650961860590062E+17</v>
      </c>
      <c r="F82" s="4">
        <v>2.2585948712993094E+17</v>
      </c>
      <c r="G82" s="4">
        <v>-8.8114910528762608E+16</v>
      </c>
      <c r="H82" s="4">
        <v>5.972013748172636E+16</v>
      </c>
      <c r="I82" s="4">
        <v>1.5312228473818045E+17</v>
      </c>
      <c r="J82" s="4">
        <v>-7.8809520874922944E+16</v>
      </c>
      <c r="K82" s="4">
        <v>-3.4029106202854835E+17</v>
      </c>
      <c r="L82" s="4">
        <v>2249079128352004.3</v>
      </c>
      <c r="M82" s="4">
        <v>1.3131183173381864E+17</v>
      </c>
      <c r="N82" s="4">
        <v>7.8966024056250896E+16</v>
      </c>
      <c r="O82" s="4">
        <v>-4.7506998781086765E+17</v>
      </c>
      <c r="P82" s="4">
        <v>4.0153022405650739E+17</v>
      </c>
    </row>
    <row r="83" spans="1:23">
      <c r="A83" s="7" t="s">
        <v>11</v>
      </c>
      <c r="B83" s="4">
        <v>2.9978373580897152E+17</v>
      </c>
      <c r="C83" s="4">
        <v>2.4108843317621939E+17</v>
      </c>
      <c r="D83" s="4">
        <v>8.6424940825340688E+16</v>
      </c>
      <c r="E83" s="4">
        <v>-2.6651477175655336E+16</v>
      </c>
      <c r="F83" s="4">
        <v>3.4525191907183437E+17</v>
      </c>
      <c r="G83" s="4">
        <v>9.7130210197121056E+16</v>
      </c>
      <c r="H83" s="4">
        <v>1.8815025271597082E+17</v>
      </c>
      <c r="I83" s="4">
        <v>5.6414909102385146E+17</v>
      </c>
      <c r="J83" s="4">
        <v>-1.0663637001236134E+17</v>
      </c>
      <c r="K83" s="4">
        <v>-7.5477962870104166E+17</v>
      </c>
      <c r="L83" s="4">
        <v>-1.2536848366546688E+17</v>
      </c>
      <c r="M83" s="4">
        <v>-4.9213728723140048E+16</v>
      </c>
      <c r="N83" s="4">
        <v>-1.3338776929664715E+17</v>
      </c>
      <c r="O83" s="4">
        <v>-4.5606687261549952E+17</v>
      </c>
      <c r="P83" s="4">
        <v>6.0484565155028314E+17</v>
      </c>
    </row>
    <row r="84" spans="1:23">
      <c r="A84" s="7" t="s">
        <v>12</v>
      </c>
      <c r="B84" s="4">
        <v>3.2801872088416166E+17</v>
      </c>
      <c r="C84" s="4">
        <v>-3.5781046198954214E+17</v>
      </c>
      <c r="D84" s="4">
        <v>2.3356245644666058E+17</v>
      </c>
      <c r="E84" s="4">
        <v>-1.6698028444152086E+17</v>
      </c>
      <c r="F84" s="4">
        <v>5.1435213218775872E+17</v>
      </c>
      <c r="G84" s="4">
        <v>-4.2431015078488944E+16</v>
      </c>
      <c r="H84" s="4">
        <v>4.4603976988151568E+16</v>
      </c>
      <c r="I84" s="4">
        <v>5.066610507544375E+17</v>
      </c>
      <c r="J84" s="4">
        <v>-1.904822212397833E+17</v>
      </c>
      <c r="K84" s="4">
        <v>-6.8498363228866189E+17</v>
      </c>
      <c r="L84" s="4">
        <v>-8.0152473492647824E+16</v>
      </c>
      <c r="M84" s="4">
        <v>1.593942508080744E+17</v>
      </c>
      <c r="N84" s="4">
        <v>1.4225094390748554E+16</v>
      </c>
      <c r="O84" s="4">
        <v>-9.1240418923598118E+17</v>
      </c>
      <c r="P84" s="4">
        <v>9.5036026936837824E+17</v>
      </c>
    </row>
    <row r="85" spans="1:23">
      <c r="A85" s="7" t="s">
        <v>13</v>
      </c>
      <c r="B85" s="4">
        <v>-3.3615360214408806E+17</v>
      </c>
      <c r="C85" s="4">
        <v>-1.9153831078375977E+18</v>
      </c>
      <c r="D85" s="4">
        <v>1.0176900826497483E+17</v>
      </c>
      <c r="E85" s="4">
        <v>-3.131348894351033E+17</v>
      </c>
      <c r="F85" s="4">
        <v>-4.8788354643403123E+17</v>
      </c>
      <c r="G85" s="4">
        <v>-5.7440633959309862E+17</v>
      </c>
      <c r="H85" s="4">
        <v>-4.5344279787724998E+17</v>
      </c>
      <c r="I85" s="4">
        <v>-1.3281788925278577E+18</v>
      </c>
      <c r="J85" s="4">
        <v>-5.8478622212242216E+16</v>
      </c>
      <c r="K85" s="4">
        <v>1.2633326758452221E+18</v>
      </c>
      <c r="L85" s="4">
        <v>4.7684806385164166E+17</v>
      </c>
      <c r="M85" s="4">
        <v>7.1277231108587763E+17</v>
      </c>
      <c r="N85" s="4">
        <v>8.8173797959199757E+17</v>
      </c>
      <c r="O85" s="4">
        <v>-1.3431830201114779E+17</v>
      </c>
      <c r="P85" s="4">
        <v>-9.6465246317938406E+17</v>
      </c>
    </row>
    <row r="86" spans="1:23">
      <c r="A86" s="7" t="s">
        <v>14</v>
      </c>
      <c r="B86" s="4">
        <v>-4.3353034939745632E+16</v>
      </c>
      <c r="C86" s="4">
        <v>3.0435039481390469E+18</v>
      </c>
      <c r="D86" s="4">
        <v>-6.1148494763779942E+17</v>
      </c>
      <c r="E86" s="4">
        <v>6.6523525292015578E+17</v>
      </c>
      <c r="F86" s="4">
        <v>-3.8042683786548691E+17</v>
      </c>
      <c r="G86" s="4">
        <v>7.0355562564674854E+17</v>
      </c>
      <c r="H86" s="4">
        <v>7.2736862219004915E+17</v>
      </c>
      <c r="I86" s="4">
        <v>6.9321571114884595E+17</v>
      </c>
      <c r="J86" s="4">
        <v>4.2682949183365158E+17</v>
      </c>
      <c r="K86" s="4">
        <v>-6.7994740812630963E+17</v>
      </c>
      <c r="L86" s="4">
        <v>-3.7930702185273312E+17</v>
      </c>
      <c r="M86" s="4">
        <v>-1.1088390697411314E+18</v>
      </c>
      <c r="N86" s="4">
        <v>-9.8629282403499418E+17</v>
      </c>
      <c r="O86" s="4">
        <v>1.7740684814757089E+18</v>
      </c>
      <c r="P86" s="4">
        <v>-7.2795424754180813E+17</v>
      </c>
    </row>
    <row r="88" spans="1:23">
      <c r="B88" s="3" t="s">
        <v>24</v>
      </c>
      <c r="C88" s="7"/>
      <c r="D88" s="7"/>
      <c r="E88" s="3"/>
      <c r="F88" s="3"/>
      <c r="G88" s="3"/>
      <c r="H88" s="3"/>
      <c r="I88" s="3"/>
      <c r="J88" s="3"/>
      <c r="K88" s="3"/>
      <c r="L88" s="3"/>
      <c r="M88" s="3"/>
      <c r="N88" s="3"/>
      <c r="P88" s="3"/>
      <c r="Q88" s="3"/>
      <c r="R88" s="3"/>
      <c r="S88" s="3"/>
      <c r="T88" s="3"/>
      <c r="U88" s="3"/>
      <c r="V88" s="3"/>
      <c r="W88" s="3"/>
    </row>
    <row r="89" spans="1:23">
      <c r="A89" s="7" t="s">
        <v>1</v>
      </c>
      <c r="B89" s="8">
        <v>2.3285678220410701E-2</v>
      </c>
    </row>
    <row r="90" spans="1:23">
      <c r="A90" s="7" t="s">
        <v>2</v>
      </c>
      <c r="B90" s="8">
        <v>3.6040475921913499E-2</v>
      </c>
    </row>
    <row r="91" spans="1:23">
      <c r="A91" s="7" t="s">
        <v>3</v>
      </c>
      <c r="B91" s="8">
        <v>8.2019488954978001E-2</v>
      </c>
    </row>
    <row r="92" spans="1:23">
      <c r="A92" s="7" t="s">
        <v>4</v>
      </c>
      <c r="B92" s="8">
        <v>5.7831506627993703E-2</v>
      </c>
    </row>
    <row r="93" spans="1:23">
      <c r="A93" s="7" t="s">
        <v>55</v>
      </c>
      <c r="B93" s="8">
        <v>2.4599446516098598E-2</v>
      </c>
    </row>
    <row r="94" spans="1:23">
      <c r="A94" s="7" t="s">
        <v>5</v>
      </c>
      <c r="B94" s="8">
        <v>3.5174177021184701E-2</v>
      </c>
    </row>
    <row r="95" spans="1:23">
      <c r="A95" s="7" t="s">
        <v>6</v>
      </c>
      <c r="B95" s="8">
        <v>2.72773246338259E-2</v>
      </c>
    </row>
    <row r="96" spans="1:23">
      <c r="A96" s="7" t="s">
        <v>7</v>
      </c>
      <c r="B96" s="8">
        <v>2.84381296373175E-2</v>
      </c>
    </row>
    <row r="97" spans="1:13">
      <c r="A97" s="7" t="s">
        <v>54</v>
      </c>
      <c r="B97" s="8">
        <v>1.6472788546895101E-2</v>
      </c>
    </row>
    <row r="98" spans="1:13">
      <c r="A98" s="7" t="s">
        <v>51</v>
      </c>
      <c r="B98" s="8">
        <v>1.8388752095808501E-2</v>
      </c>
    </row>
    <row r="99" spans="1:13">
      <c r="A99" s="7" t="s">
        <v>10</v>
      </c>
      <c r="B99" s="8">
        <v>3.5631962506687001E-2</v>
      </c>
      <c r="I99" s="11"/>
    </row>
    <row r="100" spans="1:13">
      <c r="A100" s="7" t="s">
        <v>11</v>
      </c>
      <c r="B100" s="8">
        <v>5.9972519406709598E-2</v>
      </c>
    </row>
    <row r="101" spans="1:13">
      <c r="A101" s="7" t="s">
        <v>12</v>
      </c>
      <c r="B101" s="8">
        <v>2.7983847732264599E-2</v>
      </c>
    </row>
    <row r="102" spans="1:13">
      <c r="A102" s="7" t="s">
        <v>13</v>
      </c>
      <c r="B102" s="8">
        <v>4.2048266532409E-2</v>
      </c>
    </row>
    <row r="103" spans="1:13">
      <c r="A103" s="7" t="s">
        <v>14</v>
      </c>
      <c r="B103" s="8">
        <v>2.9801204507055E-2</v>
      </c>
    </row>
    <row r="105" spans="1:13">
      <c r="A105" s="43" t="s">
        <v>27</v>
      </c>
      <c r="B105" s="12"/>
      <c r="C105" s="43" t="s">
        <v>28</v>
      </c>
      <c r="D105" s="12"/>
      <c r="E105" s="12"/>
      <c r="F105" s="43" t="s">
        <v>31</v>
      </c>
      <c r="J105" s="4" t="s">
        <v>29</v>
      </c>
      <c r="K105" s="4" t="s">
        <v>30</v>
      </c>
      <c r="L105" s="4" t="s">
        <v>33</v>
      </c>
      <c r="M105" s="4" t="s">
        <v>32</v>
      </c>
    </row>
    <row r="106" spans="1:13">
      <c r="B106" s="13" t="s">
        <v>26</v>
      </c>
      <c r="C106" s="4" t="s">
        <v>25</v>
      </c>
      <c r="E106" s="13" t="s">
        <v>26</v>
      </c>
      <c r="F106" s="4" t="s">
        <v>25</v>
      </c>
      <c r="J106" s="14">
        <v>4</v>
      </c>
      <c r="K106" s="15">
        <f>1-J106</f>
        <v>-3</v>
      </c>
      <c r="L106" s="14">
        <f t="array" ref="L106">SQRT(J106^2*C$130+K106^2*D$131+2*C$131*J106*K106)</f>
        <v>4.6685770218953652E-9</v>
      </c>
      <c r="M106" s="16">
        <f t="shared" ref="M106:M137" si="6">J106*C$125+F$125*K106</f>
        <v>3.0842380911783963E-2</v>
      </c>
    </row>
    <row r="107" spans="1:13">
      <c r="A107" s="7" t="s">
        <v>1</v>
      </c>
      <c r="B107" s="8">
        <f t="array" ref="B107:B121">MMULT(B72:P86,B89:B103-C107)/SUM(MMULT(B72:P86,B89:B103-C107))</f>
        <v>-0.67799895386746278</v>
      </c>
      <c r="C107" s="11">
        <v>0.02</v>
      </c>
      <c r="E107" s="8">
        <f t="array" ref="E107:E121">MMULT(B72:P86,B89:B103-F107)/SUM(MMULT(B72:P86,B89:B103-F107))</f>
        <v>9.4310609808017795E-2</v>
      </c>
      <c r="F107" s="11">
        <v>0.03</v>
      </c>
      <c r="G107" s="8"/>
      <c r="J107" s="15">
        <f>J106-($J$106-$K$106)/100</f>
        <v>3.93</v>
      </c>
      <c r="K107" s="15">
        <f>1-J107</f>
        <v>-2.93</v>
      </c>
      <c r="L107" s="14">
        <f t="shared" ref="L107:L170" si="7">SQRT(J107^2*$C$130+K107^2*$D$131+2*$C$131*J107*K107)</f>
        <v>4.5800974394954952E-9</v>
      </c>
      <c r="M107" s="16">
        <f t="shared" si="6"/>
        <v>3.0618314069618298E-2</v>
      </c>
    </row>
    <row r="108" spans="1:13">
      <c r="A108" s="7" t="s">
        <v>2</v>
      </c>
      <c r="B108" s="8">
        <v>2.5507506863421834</v>
      </c>
      <c r="E108" s="8">
        <v>0.91840054297665308</v>
      </c>
      <c r="J108" s="15">
        <f t="shared" ref="J108:J171" si="8">J107-($J$106-$K$106)/100</f>
        <v>3.8600000000000003</v>
      </c>
      <c r="K108" s="15">
        <f t="shared" ref="K108:K171" si="9">1-J108</f>
        <v>-2.8600000000000003</v>
      </c>
      <c r="L108" s="14">
        <f t="shared" si="7"/>
        <v>4.4917822648700636E-9</v>
      </c>
      <c r="M108" s="16">
        <f t="shared" si="6"/>
        <v>3.0394247227452618E-2</v>
      </c>
    </row>
    <row r="109" spans="1:13">
      <c r="A109" s="7" t="s">
        <v>3</v>
      </c>
      <c r="B109" s="8">
        <v>-0.91499740594820334</v>
      </c>
      <c r="E109" s="8">
        <v>-0.31114540358280651</v>
      </c>
      <c r="J109" s="15">
        <f t="shared" si="8"/>
        <v>3.7900000000000005</v>
      </c>
      <c r="K109" s="15">
        <f t="shared" si="9"/>
        <v>-2.7900000000000005</v>
      </c>
      <c r="L109" s="14">
        <f t="shared" si="7"/>
        <v>4.403641389640342E-9</v>
      </c>
      <c r="M109" s="16">
        <f t="shared" si="6"/>
        <v>3.0170180385286953E-2</v>
      </c>
    </row>
    <row r="110" spans="1:13">
      <c r="A110" s="7" t="s">
        <v>4</v>
      </c>
      <c r="B110" s="8">
        <v>0.73399852969382728</v>
      </c>
      <c r="E110" s="8">
        <v>0.1444423647938714</v>
      </c>
      <c r="J110" s="15">
        <f t="shared" si="8"/>
        <v>3.7200000000000006</v>
      </c>
      <c r="K110" s="15">
        <f t="shared" si="9"/>
        <v>-2.7200000000000006</v>
      </c>
      <c r="L110" s="14">
        <f t="shared" si="7"/>
        <v>4.3156854931667646E-9</v>
      </c>
      <c r="M110" s="16">
        <f t="shared" si="6"/>
        <v>2.9946113543121287E-2</v>
      </c>
    </row>
    <row r="111" spans="1:13">
      <c r="A111" s="7" t="s">
        <v>55</v>
      </c>
      <c r="B111" s="8">
        <v>-1.3650589019752606</v>
      </c>
      <c r="E111" s="8">
        <v>7.3861313740643697E-2</v>
      </c>
      <c r="J111" s="15">
        <f t="shared" si="8"/>
        <v>3.6500000000000008</v>
      </c>
      <c r="K111" s="15">
        <f t="shared" si="9"/>
        <v>-2.6500000000000008</v>
      </c>
      <c r="L111" s="14">
        <f t="shared" si="7"/>
        <v>4.2279261201126537E-9</v>
      </c>
      <c r="M111" s="16">
        <f t="shared" si="6"/>
        <v>2.9722046700955615E-2</v>
      </c>
    </row>
    <row r="112" spans="1:13">
      <c r="A112" s="7" t="s">
        <v>5</v>
      </c>
      <c r="B112" s="8">
        <v>0.41414465107409654</v>
      </c>
      <c r="E112" s="8">
        <v>-0.14462322322052482</v>
      </c>
      <c r="J112" s="15">
        <f t="shared" si="8"/>
        <v>3.580000000000001</v>
      </c>
      <c r="K112" s="15">
        <f t="shared" si="9"/>
        <v>-2.580000000000001</v>
      </c>
      <c r="L112" s="14">
        <f t="shared" si="7"/>
        <v>4.1403757670235524E-9</v>
      </c>
      <c r="M112" s="16">
        <f t="shared" si="6"/>
        <v>2.9497979858789936E-2</v>
      </c>
    </row>
    <row r="113" spans="1:13">
      <c r="A113" s="7" t="s">
        <v>6</v>
      </c>
      <c r="B113" s="8">
        <v>0.49669530484773688</v>
      </c>
      <c r="E113" s="8">
        <v>0.73460676359813548</v>
      </c>
      <c r="J113" s="15">
        <f t="shared" si="8"/>
        <v>3.5100000000000011</v>
      </c>
      <c r="K113" s="15">
        <f t="shared" si="9"/>
        <v>-2.5100000000000011</v>
      </c>
      <c r="L113" s="14">
        <f t="shared" si="7"/>
        <v>4.0530479791146238E-9</v>
      </c>
      <c r="M113" s="16">
        <f t="shared" si="6"/>
        <v>2.927391301662427E-2</v>
      </c>
    </row>
    <row r="114" spans="1:13">
      <c r="A114" s="7" t="s">
        <v>7</v>
      </c>
      <c r="B114" s="8">
        <v>-0.76605438941160608</v>
      </c>
      <c r="E114" s="8">
        <v>4.8358460358951069E-2</v>
      </c>
      <c r="J114" s="15">
        <f t="shared" si="8"/>
        <v>3.4400000000000013</v>
      </c>
      <c r="K114" s="15">
        <f t="shared" si="9"/>
        <v>-2.4400000000000013</v>
      </c>
      <c r="L114" s="14">
        <f t="shared" si="7"/>
        <v>3.9659574586319831E-9</v>
      </c>
      <c r="M114" s="16">
        <f t="shared" si="6"/>
        <v>2.9049846174458605E-2</v>
      </c>
    </row>
    <row r="115" spans="1:13">
      <c r="A115" s="7" t="s">
        <v>54</v>
      </c>
      <c r="B115" s="8">
        <v>0.70376014543221999</v>
      </c>
      <c r="E115" s="8">
        <v>0.38477245566729845</v>
      </c>
      <c r="J115" s="15">
        <f t="shared" si="8"/>
        <v>3.3700000000000014</v>
      </c>
      <c r="K115" s="15">
        <f t="shared" si="9"/>
        <v>-2.3700000000000014</v>
      </c>
      <c r="L115" s="14">
        <f t="shared" si="7"/>
        <v>3.8791201863536563E-9</v>
      </c>
      <c r="M115" s="16">
        <f t="shared" si="6"/>
        <v>2.8825779332292925E-2</v>
      </c>
    </row>
    <row r="116" spans="1:13">
      <c r="A116" s="7" t="s">
        <v>51</v>
      </c>
      <c r="B116" s="8">
        <v>0.89835673255877979</v>
      </c>
      <c r="E116" s="8">
        <v>-0.76408664271330651</v>
      </c>
      <c r="J116" s="15">
        <f t="shared" si="8"/>
        <v>3.3000000000000016</v>
      </c>
      <c r="K116" s="15">
        <f t="shared" si="9"/>
        <v>-2.3000000000000016</v>
      </c>
      <c r="L116" s="14">
        <f t="shared" si="7"/>
        <v>3.7925535580263647E-9</v>
      </c>
      <c r="M116" s="16">
        <f t="shared" si="6"/>
        <v>2.860171249012726E-2</v>
      </c>
    </row>
    <row r="117" spans="1:13">
      <c r="A117" s="7" t="s">
        <v>10</v>
      </c>
      <c r="B117" s="8">
        <v>6.8107109092970018E-4</v>
      </c>
      <c r="E117" s="8">
        <v>-4.669005404643152E-2</v>
      </c>
      <c r="J117" s="15">
        <f t="shared" si="8"/>
        <v>3.2300000000000018</v>
      </c>
      <c r="K117" s="15">
        <f t="shared" si="9"/>
        <v>-2.2300000000000018</v>
      </c>
      <c r="L117" s="14">
        <f t="shared" si="7"/>
        <v>3.7062765377997228E-9</v>
      </c>
      <c r="M117" s="16">
        <f t="shared" si="6"/>
        <v>2.8377645647961594E-2</v>
      </c>
    </row>
    <row r="118" spans="1:13">
      <c r="A118" s="7" t="s">
        <v>11</v>
      </c>
      <c r="B118" s="8">
        <v>-0.95362327660094859</v>
      </c>
      <c r="E118" s="8">
        <v>-0.28051965524226524</v>
      </c>
      <c r="J118" s="15">
        <f t="shared" si="8"/>
        <v>3.1600000000000019</v>
      </c>
      <c r="K118" s="15">
        <f t="shared" si="9"/>
        <v>-2.1600000000000019</v>
      </c>
      <c r="L118" s="14">
        <f t="shared" si="7"/>
        <v>3.6203098310248534E-9</v>
      </c>
      <c r="M118" s="16">
        <f t="shared" si="6"/>
        <v>2.8153578805795929E-2</v>
      </c>
    </row>
    <row r="119" spans="1:13">
      <c r="A119" s="7" t="s">
        <v>12</v>
      </c>
      <c r="B119" s="8">
        <v>-0.52940911884604647</v>
      </c>
      <c r="E119" s="8">
        <v>-0.25832854603055633</v>
      </c>
      <c r="J119" s="15">
        <f t="shared" si="8"/>
        <v>3.0900000000000021</v>
      </c>
      <c r="K119" s="15">
        <f t="shared" si="9"/>
        <v>-2.0900000000000021</v>
      </c>
      <c r="L119" s="14">
        <f t="shared" si="7"/>
        <v>3.5346760791351107E-9</v>
      </c>
      <c r="M119" s="16">
        <f t="shared" si="6"/>
        <v>2.7929511963630249E-2</v>
      </c>
    </row>
    <row r="120" spans="1:13">
      <c r="A120" s="7" t="s">
        <v>13</v>
      </c>
      <c r="B120" s="8">
        <v>2.9911916163235048</v>
      </c>
      <c r="E120" s="8">
        <v>0.25119180750554254</v>
      </c>
      <c r="J120" s="15">
        <f t="shared" si="8"/>
        <v>3.0200000000000022</v>
      </c>
      <c r="K120" s="15">
        <f t="shared" si="9"/>
        <v>-2.0200000000000022</v>
      </c>
      <c r="L120" s="14">
        <f t="shared" si="7"/>
        <v>3.4494000797282063E-9</v>
      </c>
      <c r="M120" s="16">
        <f t="shared" si="6"/>
        <v>2.7705445121464584E-2</v>
      </c>
    </row>
    <row r="121" spans="1:13">
      <c r="A121" s="7" t="s">
        <v>14</v>
      </c>
      <c r="B121" s="8">
        <v>-2.5824366907137506</v>
      </c>
      <c r="E121" s="8">
        <v>0.15544920638677778</v>
      </c>
      <c r="J121" s="15">
        <f t="shared" si="8"/>
        <v>2.9500000000000024</v>
      </c>
      <c r="K121" s="15">
        <f t="shared" si="9"/>
        <v>-1.9500000000000024</v>
      </c>
      <c r="L121" s="14">
        <f t="shared" si="7"/>
        <v>3.3645090354273384E-9</v>
      </c>
      <c r="M121" s="16">
        <f t="shared" si="6"/>
        <v>2.7481378279298911E-2</v>
      </c>
    </row>
    <row r="122" spans="1:13">
      <c r="I122" s="8"/>
      <c r="J122" s="15">
        <f t="shared" si="8"/>
        <v>2.8800000000000026</v>
      </c>
      <c r="K122" s="15">
        <f t="shared" si="9"/>
        <v>-1.8800000000000026</v>
      </c>
      <c r="L122" s="14">
        <f t="shared" si="7"/>
        <v>3.2800328356191329E-9</v>
      </c>
      <c r="M122" s="16">
        <f t="shared" si="6"/>
        <v>2.7257311437133239E-2</v>
      </c>
    </row>
    <row r="123" spans="1:13">
      <c r="I123" s="8"/>
      <c r="J123" s="15">
        <f t="shared" si="8"/>
        <v>2.8100000000000027</v>
      </c>
      <c r="K123" s="15">
        <f t="shared" si="9"/>
        <v>-1.8100000000000027</v>
      </c>
      <c r="L123" s="14">
        <f t="shared" si="7"/>
        <v>3.1960043757528595E-9</v>
      </c>
      <c r="M123" s="16">
        <f t="shared" si="6"/>
        <v>2.7033244594967566E-2</v>
      </c>
    </row>
    <row r="124" spans="1:13">
      <c r="I124" s="8"/>
      <c r="J124" s="15">
        <f t="shared" si="8"/>
        <v>2.7400000000000029</v>
      </c>
      <c r="K124" s="15">
        <f t="shared" si="9"/>
        <v>-1.7400000000000029</v>
      </c>
      <c r="L124" s="14">
        <f t="shared" si="7"/>
        <v>3.1124599195407169E-9</v>
      </c>
      <c r="M124" s="16">
        <f t="shared" si="6"/>
        <v>2.6809177752801901E-2</v>
      </c>
    </row>
    <row r="125" spans="1:13">
      <c r="B125" s="12" t="s">
        <v>34</v>
      </c>
      <c r="C125" s="27">
        <f>SUMPRODUCT(B107:B121,B89:B103)</f>
        <v>2.1239516247540932E-2</v>
      </c>
      <c r="D125" s="12"/>
      <c r="E125" s="12"/>
      <c r="F125" s="27">
        <f>SUMPRODUCT(B89:B103,E107:E121)</f>
        <v>1.8038561359459922E-2</v>
      </c>
      <c r="I125" s="8"/>
      <c r="J125" s="15">
        <f t="shared" si="8"/>
        <v>2.670000000000003</v>
      </c>
      <c r="K125" s="15">
        <f t="shared" si="9"/>
        <v>-1.670000000000003</v>
      </c>
      <c r="L125" s="14">
        <f t="shared" si="7"/>
        <v>3.0294395101219019E-9</v>
      </c>
      <c r="M125" s="16">
        <f t="shared" si="6"/>
        <v>2.6585110910636228E-2</v>
      </c>
    </row>
    <row r="126" spans="1:13">
      <c r="I126" s="8"/>
      <c r="J126" s="15">
        <f t="shared" si="8"/>
        <v>2.6000000000000032</v>
      </c>
      <c r="K126" s="15">
        <f t="shared" si="9"/>
        <v>-1.6000000000000032</v>
      </c>
      <c r="L126" s="14">
        <f t="shared" si="7"/>
        <v>2.9469874370366947E-9</v>
      </c>
      <c r="M126" s="16">
        <f t="shared" si="6"/>
        <v>2.6361044068470563E-2</v>
      </c>
    </row>
    <row r="127" spans="1:13">
      <c r="I127" s="8"/>
      <c r="J127" s="15">
        <f t="shared" si="8"/>
        <v>2.5300000000000034</v>
      </c>
      <c r="K127" s="15">
        <f t="shared" si="9"/>
        <v>-1.5300000000000034</v>
      </c>
      <c r="L127" s="14">
        <f t="shared" si="7"/>
        <v>2.8651527666846712E-9</v>
      </c>
      <c r="M127" s="16">
        <f t="shared" si="6"/>
        <v>2.613697722630489E-2</v>
      </c>
    </row>
    <row r="128" spans="1:13">
      <c r="B128" s="23" t="s">
        <v>44</v>
      </c>
      <c r="C128" s="24"/>
      <c r="D128" s="25"/>
      <c r="I128" s="8"/>
      <c r="J128" s="15">
        <f t="shared" si="8"/>
        <v>2.4600000000000035</v>
      </c>
      <c r="K128" s="15">
        <f t="shared" si="9"/>
        <v>-1.4600000000000035</v>
      </c>
      <c r="L128" s="14">
        <f t="shared" si="7"/>
        <v>2.7839899447831696E-9</v>
      </c>
      <c r="M128" s="16">
        <f t="shared" si="6"/>
        <v>2.5912910384139214E-2</v>
      </c>
    </row>
    <row r="129" spans="2:19">
      <c r="B129" s="23"/>
      <c r="C129" s="23" t="s">
        <v>28</v>
      </c>
      <c r="D129" s="23" t="s">
        <v>31</v>
      </c>
      <c r="I129" s="8"/>
      <c r="J129" s="15">
        <f t="shared" si="8"/>
        <v>2.3900000000000037</v>
      </c>
      <c r="K129" s="15">
        <f t="shared" si="9"/>
        <v>-1.3900000000000037</v>
      </c>
      <c r="L129" s="14">
        <f t="shared" si="7"/>
        <v>2.7035594801466842E-9</v>
      </c>
      <c r="M129" s="16">
        <f t="shared" si="6"/>
        <v>2.5688843541973549E-2</v>
      </c>
    </row>
    <row r="130" spans="2:19">
      <c r="B130" s="23" t="s">
        <v>28</v>
      </c>
      <c r="C130" s="26">
        <f t="array" ref="C130">MMULT(MMULT(TRANSPOSE(B107:B121),B36:P50),B107:B121)</f>
        <v>2.0931441435243433E-18</v>
      </c>
      <c r="D130" s="26"/>
      <c r="I130" s="8"/>
      <c r="J130" s="15">
        <f t="shared" si="8"/>
        <v>2.3200000000000038</v>
      </c>
      <c r="K130" s="15">
        <f t="shared" si="9"/>
        <v>-1.3200000000000038</v>
      </c>
      <c r="L130" s="14">
        <f t="shared" si="7"/>
        <v>2.6239287197926065E-9</v>
      </c>
      <c r="M130" s="16">
        <f t="shared" si="6"/>
        <v>2.5464776699807876E-2</v>
      </c>
    </row>
    <row r="131" spans="2:19">
      <c r="B131" s="23" t="s">
        <v>31</v>
      </c>
      <c r="C131" s="26">
        <f t="array" ref="C131">MMULT(MMULT(TRANSPOSE(E107:E121),B36:P50),B107:B121)</f>
        <v>1.4319833478259539E-18</v>
      </c>
      <c r="D131" s="26">
        <f t="array" ref="D131">MMULT(MMULT(TRANSPOSE(E107:E121),B36:P50),E107:E121)</f>
        <v>2.5192117178669772E-18</v>
      </c>
      <c r="I131" s="8"/>
      <c r="J131" s="15">
        <f t="shared" si="8"/>
        <v>2.250000000000004</v>
      </c>
      <c r="K131" s="15">
        <f t="shared" si="9"/>
        <v>-1.250000000000004</v>
      </c>
      <c r="L131" s="14">
        <f t="shared" si="7"/>
        <v>2.5451727258161029E-9</v>
      </c>
      <c r="M131" s="16">
        <f t="shared" si="6"/>
        <v>2.5240709857642211E-2</v>
      </c>
    </row>
    <row r="132" spans="2:19">
      <c r="I132" s="8"/>
      <c r="J132" s="15">
        <f t="shared" si="8"/>
        <v>2.1800000000000042</v>
      </c>
      <c r="K132" s="15">
        <f t="shared" si="9"/>
        <v>-1.1800000000000042</v>
      </c>
      <c r="L132" s="14">
        <f t="shared" si="7"/>
        <v>2.4673752644760226E-9</v>
      </c>
      <c r="M132" s="16">
        <f t="shared" si="6"/>
        <v>2.5016643015476538E-2</v>
      </c>
    </row>
    <row r="133" spans="2:19">
      <c r="I133" s="8"/>
      <c r="J133" s="15">
        <f t="shared" si="8"/>
        <v>2.1100000000000043</v>
      </c>
      <c r="K133" s="15">
        <f t="shared" si="9"/>
        <v>-1.1100000000000043</v>
      </c>
      <c r="L133" s="14">
        <f t="shared" si="7"/>
        <v>2.3906299172147746E-9</v>
      </c>
      <c r="M133" s="16">
        <f t="shared" si="6"/>
        <v>2.4792576173310869E-2</v>
      </c>
    </row>
    <row r="134" spans="2:19">
      <c r="J134" s="15">
        <f t="shared" si="8"/>
        <v>2.0400000000000045</v>
      </c>
      <c r="K134" s="15">
        <f t="shared" si="9"/>
        <v>-1.0400000000000045</v>
      </c>
      <c r="L134" s="14">
        <f t="shared" si="7"/>
        <v>2.3150413214974723E-9</v>
      </c>
      <c r="M134" s="16">
        <f t="shared" si="6"/>
        <v>2.4568509331145197E-2</v>
      </c>
    </row>
    <row r="135" spans="2:19">
      <c r="J135" s="15">
        <f t="shared" si="8"/>
        <v>1.9700000000000044</v>
      </c>
      <c r="K135" s="15">
        <f t="shared" si="9"/>
        <v>-0.97000000000000441</v>
      </c>
      <c r="L135" s="14">
        <f t="shared" si="7"/>
        <v>2.2407265458380797E-9</v>
      </c>
      <c r="M135" s="16">
        <f t="shared" si="6"/>
        <v>2.4344442488979528E-2</v>
      </c>
      <c r="P135" s="19"/>
      <c r="Q135" s="19"/>
    </row>
    <row r="136" spans="2:19">
      <c r="J136" s="15">
        <f t="shared" si="8"/>
        <v>1.9000000000000044</v>
      </c>
      <c r="K136" s="15">
        <f t="shared" si="9"/>
        <v>-0.90000000000000435</v>
      </c>
      <c r="L136" s="14">
        <f t="shared" si="7"/>
        <v>2.1678165974155625E-9</v>
      </c>
      <c r="M136" s="16">
        <f t="shared" si="6"/>
        <v>2.4120375646813859E-2</v>
      </c>
      <c r="O136" s="17"/>
      <c r="P136" s="20"/>
      <c r="Q136" s="21"/>
      <c r="R136" s="30" t="s">
        <v>41</v>
      </c>
      <c r="S136" s="21" t="s">
        <v>42</v>
      </c>
    </row>
    <row r="137" spans="2:19">
      <c r="I137" s="8"/>
      <c r="J137" s="15">
        <f t="shared" si="8"/>
        <v>1.8300000000000043</v>
      </c>
      <c r="K137" s="15">
        <f t="shared" si="9"/>
        <v>-0.83000000000000429</v>
      </c>
      <c r="L137" s="14">
        <f t="shared" si="7"/>
        <v>2.0964580512525332E-9</v>
      </c>
      <c r="M137" s="16">
        <f t="shared" si="6"/>
        <v>2.3896308804648183E-2</v>
      </c>
      <c r="P137" s="34" t="s">
        <v>40</v>
      </c>
      <c r="Q137" s="35"/>
      <c r="R137" s="41">
        <f>SQRT(C130)</f>
        <v>1.446770245589929E-9</v>
      </c>
      <c r="S137" s="22">
        <f>C125</f>
        <v>2.1239516247540932E-2</v>
      </c>
    </row>
    <row r="138" spans="2:19" ht="18.75" customHeight="1">
      <c r="I138" s="8"/>
      <c r="J138" s="15">
        <f t="shared" si="8"/>
        <v>1.7600000000000042</v>
      </c>
      <c r="K138" s="15">
        <f t="shared" si="9"/>
        <v>-0.76000000000000423</v>
      </c>
      <c r="L138" s="14">
        <f t="shared" si="7"/>
        <v>2.0268147757298883E-9</v>
      </c>
      <c r="M138" s="16">
        <f t="shared" ref="M138:M169" si="10">J138*C$125+F$125*K138</f>
        <v>2.3672241962482514E-2</v>
      </c>
      <c r="P138" s="36" t="s">
        <v>43</v>
      </c>
      <c r="Q138" s="37"/>
      <c r="R138" s="42">
        <v>1.35E-2</v>
      </c>
      <c r="S138" s="28">
        <v>1.9900000000000001E-2</v>
      </c>
    </row>
    <row r="139" spans="2:19">
      <c r="I139" s="8"/>
      <c r="J139" s="15">
        <f t="shared" si="8"/>
        <v>1.6900000000000042</v>
      </c>
      <c r="K139" s="15">
        <f t="shared" si="9"/>
        <v>-0.69000000000000417</v>
      </c>
      <c r="L139" s="14">
        <f t="shared" si="7"/>
        <v>1.9590697086619126E-9</v>
      </c>
      <c r="M139" s="16">
        <f t="shared" si="10"/>
        <v>2.3448175120316845E-2</v>
      </c>
      <c r="O139" s="17"/>
      <c r="P139" s="38"/>
      <c r="Q139" s="39"/>
      <c r="R139" s="31"/>
      <c r="S139" s="29"/>
    </row>
    <row r="140" spans="2:19">
      <c r="I140" s="8"/>
      <c r="J140" s="15">
        <f t="shared" si="8"/>
        <v>1.6200000000000041</v>
      </c>
      <c r="K140" s="15">
        <f t="shared" si="9"/>
        <v>-0.6200000000000041</v>
      </c>
      <c r="L140" s="14">
        <f t="shared" si="7"/>
        <v>1.8934266094836078E-9</v>
      </c>
      <c r="M140" s="16">
        <f t="shared" si="10"/>
        <v>2.3224108278151176E-2</v>
      </c>
      <c r="P140" s="32" t="s">
        <v>45</v>
      </c>
      <c r="Q140" s="33"/>
      <c r="R140" s="18"/>
      <c r="S140" s="22">
        <v>1.5100000000000001E-2</v>
      </c>
    </row>
    <row r="141" spans="2:19">
      <c r="I141" s="8"/>
      <c r="J141" s="15">
        <f t="shared" si="8"/>
        <v>1.550000000000004</v>
      </c>
      <c r="K141" s="15">
        <f t="shared" si="9"/>
        <v>-0.55000000000000404</v>
      </c>
      <c r="L141" s="14">
        <f t="shared" si="7"/>
        <v>1.8301116745785644E-9</v>
      </c>
      <c r="M141" s="16">
        <f t="shared" si="10"/>
        <v>2.3000041435985497E-2</v>
      </c>
    </row>
    <row r="142" spans="2:19">
      <c r="I142" s="8"/>
      <c r="J142" s="15">
        <f t="shared" si="8"/>
        <v>1.480000000000004</v>
      </c>
      <c r="K142" s="15">
        <f t="shared" si="9"/>
        <v>-0.48000000000000398</v>
      </c>
      <c r="L142" s="14">
        <f t="shared" si="7"/>
        <v>1.769374853212617E-9</v>
      </c>
      <c r="M142" s="16">
        <f t="shared" si="10"/>
        <v>2.2775974593819831E-2</v>
      </c>
    </row>
    <row r="143" spans="2:19">
      <c r="I143" s="8"/>
      <c r="J143" s="15">
        <f t="shared" si="8"/>
        <v>1.4100000000000039</v>
      </c>
      <c r="K143" s="15">
        <f t="shared" si="9"/>
        <v>-0.41000000000000392</v>
      </c>
      <c r="L143" s="14">
        <f t="shared" si="7"/>
        <v>1.7114906411540288E-9</v>
      </c>
      <c r="M143" s="16">
        <f t="shared" si="10"/>
        <v>2.2551907751654159E-2</v>
      </c>
    </row>
    <row r="144" spans="2:19">
      <c r="I144" s="8"/>
      <c r="J144" s="15">
        <f t="shared" si="8"/>
        <v>1.3400000000000039</v>
      </c>
      <c r="K144" s="15">
        <f t="shared" si="9"/>
        <v>-0.34000000000000385</v>
      </c>
      <c r="L144" s="14">
        <f t="shared" si="7"/>
        <v>1.6567580608401258E-9</v>
      </c>
      <c r="M144" s="16">
        <f t="shared" si="10"/>
        <v>2.2327840909488486E-2</v>
      </c>
    </row>
    <row r="145" spans="9:13">
      <c r="I145" s="8"/>
      <c r="J145" s="15">
        <f t="shared" si="8"/>
        <v>1.2700000000000038</v>
      </c>
      <c r="K145" s="15">
        <f t="shared" si="9"/>
        <v>-0.27000000000000379</v>
      </c>
      <c r="L145" s="14">
        <f t="shared" si="7"/>
        <v>1.605499468509375E-9</v>
      </c>
      <c r="M145" s="16">
        <f t="shared" si="10"/>
        <v>2.2103774067322821E-2</v>
      </c>
    </row>
    <row r="146" spans="9:13">
      <c r="I146" s="8"/>
      <c r="J146" s="15">
        <f t="shared" si="8"/>
        <v>1.2000000000000037</v>
      </c>
      <c r="K146" s="15">
        <f t="shared" si="9"/>
        <v>-0.20000000000000373</v>
      </c>
      <c r="L146" s="14">
        <f t="shared" si="7"/>
        <v>1.5580577744208598E-9</v>
      </c>
      <c r="M146" s="16">
        <f t="shared" si="10"/>
        <v>2.1879707225157145E-2</v>
      </c>
    </row>
    <row r="147" spans="9:13">
      <c r="I147" s="8"/>
      <c r="J147" s="15">
        <f t="shared" si="8"/>
        <v>1.1300000000000037</v>
      </c>
      <c r="K147" s="15">
        <f t="shared" si="9"/>
        <v>-0.13000000000000367</v>
      </c>
      <c r="L147" s="14">
        <f t="shared" si="7"/>
        <v>1.5147916448498544E-9</v>
      </c>
      <c r="M147" s="16">
        <f t="shared" si="10"/>
        <v>2.1655640382991476E-2</v>
      </c>
    </row>
    <row r="148" spans="9:13">
      <c r="I148" s="8"/>
      <c r="J148" s="15">
        <f t="shared" si="8"/>
        <v>1.0600000000000036</v>
      </c>
      <c r="K148" s="15">
        <f t="shared" si="9"/>
        <v>-6.0000000000003606E-2</v>
      </c>
      <c r="L148" s="14">
        <f t="shared" si="7"/>
        <v>1.4760683046542317E-9</v>
      </c>
      <c r="M148" s="16">
        <f t="shared" si="10"/>
        <v>2.1431573540825803E-2</v>
      </c>
    </row>
    <row r="149" spans="9:13">
      <c r="I149" s="8"/>
      <c r="J149" s="15">
        <f t="shared" si="8"/>
        <v>0.99000000000000354</v>
      </c>
      <c r="K149" s="15">
        <f t="shared" si="9"/>
        <v>9.9999999999964562E-3</v>
      </c>
      <c r="L149" s="14">
        <f t="shared" si="7"/>
        <v>1.4422537108730052E-9</v>
      </c>
      <c r="M149" s="16">
        <f t="shared" si="10"/>
        <v>2.1207506698660134E-2</v>
      </c>
    </row>
    <row r="150" spans="9:13">
      <c r="I150" s="8"/>
      <c r="J150" s="15">
        <f t="shared" si="8"/>
        <v>0.92000000000000348</v>
      </c>
      <c r="K150" s="15">
        <f t="shared" si="9"/>
        <v>7.9999999999996518E-2</v>
      </c>
      <c r="L150" s="14">
        <f t="shared" si="7"/>
        <v>1.4137001474405159E-9</v>
      </c>
      <c r="M150" s="16">
        <f t="shared" si="10"/>
        <v>2.0983439856494462E-2</v>
      </c>
    </row>
    <row r="151" spans="9:13">
      <c r="I151" s="8"/>
      <c r="J151" s="15">
        <f t="shared" si="8"/>
        <v>0.85000000000000342</v>
      </c>
      <c r="K151" s="15">
        <f t="shared" si="9"/>
        <v>0.14999999999999658</v>
      </c>
      <c r="L151" s="14">
        <f t="shared" si="7"/>
        <v>1.39073169987743E-9</v>
      </c>
      <c r="M151" s="16">
        <f t="shared" si="10"/>
        <v>2.0759373014328793E-2</v>
      </c>
    </row>
    <row r="152" spans="9:13">
      <c r="I152" s="8"/>
      <c r="J152" s="15">
        <f t="shared" si="8"/>
        <v>0.78000000000000336</v>
      </c>
      <c r="K152" s="15">
        <f t="shared" si="9"/>
        <v>0.21999999999999664</v>
      </c>
      <c r="L152" s="14">
        <f t="shared" si="7"/>
        <v>1.3736285629815803E-9</v>
      </c>
      <c r="M152" s="16">
        <f t="shared" si="10"/>
        <v>2.053530617216312E-2</v>
      </c>
    </row>
    <row r="153" spans="9:13">
      <c r="I153" s="8"/>
      <c r="J153" s="15">
        <f t="shared" si="8"/>
        <v>0.7100000000000033</v>
      </c>
      <c r="K153" s="15">
        <f t="shared" si="9"/>
        <v>0.2899999999999967</v>
      </c>
      <c r="L153" s="14">
        <f t="shared" si="7"/>
        <v>1.3626116140918375E-9</v>
      </c>
      <c r="M153" s="16">
        <f t="shared" si="10"/>
        <v>2.0311239329997448E-2</v>
      </c>
    </row>
    <row r="154" spans="9:13">
      <c r="I154" s="8"/>
      <c r="J154" s="15">
        <f t="shared" si="8"/>
        <v>0.64000000000000323</v>
      </c>
      <c r="K154" s="15">
        <f t="shared" si="9"/>
        <v>0.35999999999999677</v>
      </c>
      <c r="L154" s="14">
        <f t="shared" si="7"/>
        <v>1.3578290048829166E-9</v>
      </c>
      <c r="M154" s="16">
        <f t="shared" si="10"/>
        <v>2.0087172487831779E-2</v>
      </c>
    </row>
    <row r="155" spans="9:13">
      <c r="I155" s="8"/>
      <c r="J155" s="15">
        <f t="shared" si="8"/>
        <v>0.57000000000000317</v>
      </c>
      <c r="K155" s="15">
        <f t="shared" si="9"/>
        <v>0.42999999999999683</v>
      </c>
      <c r="L155" s="14">
        <f t="shared" si="7"/>
        <v>1.3593465400584744E-9</v>
      </c>
      <c r="M155" s="16">
        <f t="shared" si="10"/>
        <v>1.986310564566611E-2</v>
      </c>
    </row>
    <row r="156" spans="9:13">
      <c r="I156" s="8"/>
      <c r="J156" s="15">
        <f t="shared" si="8"/>
        <v>0.50000000000000311</v>
      </c>
      <c r="K156" s="15">
        <f t="shared" si="9"/>
        <v>0.49999999999999689</v>
      </c>
      <c r="L156" s="14">
        <f t="shared" si="7"/>
        <v>1.3671432402132578E-9</v>
      </c>
      <c r="M156" s="16">
        <f t="shared" si="10"/>
        <v>1.9639038803500437E-2</v>
      </c>
    </row>
    <row r="157" spans="9:13">
      <c r="I157" s="8"/>
      <c r="J157" s="15">
        <f t="shared" si="8"/>
        <v>0.4300000000000031</v>
      </c>
      <c r="K157" s="15">
        <f t="shared" si="9"/>
        <v>0.56999999999999695</v>
      </c>
      <c r="L157" s="14">
        <f t="shared" si="7"/>
        <v>1.3811127674367914E-9</v>
      </c>
      <c r="M157" s="16">
        <f t="shared" si="10"/>
        <v>1.9414971961334768E-2</v>
      </c>
    </row>
    <row r="158" spans="9:13">
      <c r="I158" s="8"/>
      <c r="J158" s="15">
        <f t="shared" si="8"/>
        <v>0.3600000000000031</v>
      </c>
      <c r="K158" s="15">
        <f t="shared" si="9"/>
        <v>0.6399999999999969</v>
      </c>
      <c r="L158" s="14">
        <f t="shared" si="7"/>
        <v>1.4010704933433097E-9</v>
      </c>
      <c r="M158" s="16">
        <f t="shared" si="10"/>
        <v>1.9190905119169096E-2</v>
      </c>
    </row>
    <row r="159" spans="9:13">
      <c r="I159" s="8"/>
      <c r="J159" s="15">
        <f t="shared" si="8"/>
        <v>0.29000000000000309</v>
      </c>
      <c r="K159" s="15">
        <f t="shared" si="9"/>
        <v>0.70999999999999686</v>
      </c>
      <c r="L159" s="14">
        <f t="shared" si="7"/>
        <v>1.4267651495890502E-9</v>
      </c>
      <c r="M159" s="16">
        <f t="shared" si="10"/>
        <v>1.8966838277003423E-2</v>
      </c>
    </row>
    <row r="160" spans="9:13">
      <c r="I160" s="8"/>
      <c r="J160" s="15">
        <f t="shared" si="8"/>
        <v>0.22000000000000308</v>
      </c>
      <c r="K160" s="15">
        <f t="shared" si="9"/>
        <v>0.77999999999999692</v>
      </c>
      <c r="L160" s="14">
        <f t="shared" si="7"/>
        <v>1.457893435979019E-9</v>
      </c>
      <c r="M160" s="16">
        <f t="shared" si="10"/>
        <v>1.8742771434837754E-2</v>
      </c>
    </row>
    <row r="161" spans="9:13">
      <c r="I161" s="8"/>
      <c r="J161" s="15">
        <f t="shared" si="8"/>
        <v>0.15000000000000308</v>
      </c>
      <c r="K161" s="15">
        <f t="shared" si="9"/>
        <v>0.84999999999999698</v>
      </c>
      <c r="L161" s="14">
        <f t="shared" si="7"/>
        <v>1.4941157796783362E-9</v>
      </c>
      <c r="M161" s="16">
        <f t="shared" si="10"/>
        <v>1.8518704592672085E-2</v>
      </c>
    </row>
    <row r="162" spans="9:13">
      <c r="I162" s="8"/>
      <c r="J162" s="15">
        <f t="shared" si="8"/>
        <v>8.0000000000003069E-2</v>
      </c>
      <c r="K162" s="15">
        <f t="shared" si="9"/>
        <v>0.91999999999999693</v>
      </c>
      <c r="L162" s="14">
        <f t="shared" si="7"/>
        <v>1.5350716170006987E-9</v>
      </c>
      <c r="M162" s="16">
        <f t="shared" si="10"/>
        <v>1.8294637750506413E-2</v>
      </c>
    </row>
    <row r="163" spans="9:13">
      <c r="I163" s="8"/>
      <c r="J163" s="15">
        <f t="shared" si="8"/>
        <v>1.0000000000003062E-2</v>
      </c>
      <c r="K163" s="15">
        <f t="shared" si="9"/>
        <v>0.98999999999999688</v>
      </c>
      <c r="L163" s="14">
        <f t="shared" si="7"/>
        <v>1.5803929857420665E-9</v>
      </c>
      <c r="M163" s="16">
        <f t="shared" si="10"/>
        <v>1.8070570908340741E-2</v>
      </c>
    </row>
    <row r="164" spans="9:13">
      <c r="I164" s="8"/>
      <c r="J164" s="15">
        <f t="shared" si="8"/>
        <v>-5.9999999999996945E-2</v>
      </c>
      <c r="K164" s="15">
        <f t="shared" si="9"/>
        <v>1.0599999999999969</v>
      </c>
      <c r="L164" s="14">
        <f t="shared" si="7"/>
        <v>1.6297157185437448E-9</v>
      </c>
      <c r="M164" s="16">
        <f t="shared" si="10"/>
        <v>1.7846504066175072E-2</v>
      </c>
    </row>
    <row r="165" spans="9:13">
      <c r="I165" s="8"/>
      <c r="J165" s="15">
        <f t="shared" si="8"/>
        <v>-0.12999999999999695</v>
      </c>
      <c r="K165" s="15">
        <f t="shared" si="9"/>
        <v>1.129999999999997</v>
      </c>
      <c r="L165" s="14">
        <f t="shared" si="7"/>
        <v>1.6826879897885501E-9</v>
      </c>
      <c r="M165" s="16">
        <f t="shared" si="10"/>
        <v>1.7622437224009403E-2</v>
      </c>
    </row>
    <row r="166" spans="9:13">
      <c r="I166" s="8"/>
      <c r="J166" s="15">
        <f t="shared" si="8"/>
        <v>-0.19999999999999696</v>
      </c>
      <c r="K166" s="15">
        <f t="shared" si="9"/>
        <v>1.1999999999999971</v>
      </c>
      <c r="L166" s="14">
        <f t="shared" si="7"/>
        <v>1.7389763174100316E-9</v>
      </c>
      <c r="M166" s="16">
        <f t="shared" si="10"/>
        <v>1.7398370381843734E-2</v>
      </c>
    </row>
    <row r="167" spans="9:13">
      <c r="I167" s="8"/>
      <c r="J167" s="15">
        <f t="shared" si="8"/>
        <v>-0.26999999999999696</v>
      </c>
      <c r="K167" s="15">
        <f t="shared" si="9"/>
        <v>1.2699999999999969</v>
      </c>
      <c r="L167" s="14">
        <f t="shared" si="7"/>
        <v>1.798269336854611E-9</v>
      </c>
      <c r="M167" s="16">
        <f t="shared" si="10"/>
        <v>1.7174303539678058E-2</v>
      </c>
    </row>
    <row r="168" spans="9:13">
      <c r="I168" s="8"/>
      <c r="J168" s="15">
        <f t="shared" si="8"/>
        <v>-0.33999999999999697</v>
      </c>
      <c r="K168" s="15">
        <f t="shared" si="9"/>
        <v>1.339999999999997</v>
      </c>
      <c r="L168" s="14">
        <f t="shared" si="7"/>
        <v>1.8602797631147683E-9</v>
      </c>
      <c r="M168" s="16">
        <f t="shared" si="10"/>
        <v>1.6950236697512389E-2</v>
      </c>
    </row>
    <row r="169" spans="9:13">
      <c r="I169" s="8"/>
      <c r="J169" s="15">
        <f t="shared" si="8"/>
        <v>-0.40999999999999698</v>
      </c>
      <c r="K169" s="15">
        <f t="shared" si="9"/>
        <v>1.409999999999997</v>
      </c>
      <c r="L169" s="14">
        <f t="shared" si="7"/>
        <v>1.9247449701353682E-9</v>
      </c>
      <c r="M169" s="16">
        <f t="shared" si="10"/>
        <v>1.672616985534672E-2</v>
      </c>
    </row>
    <row r="170" spans="9:13">
      <c r="I170" s="8"/>
      <c r="J170" s="15">
        <f t="shared" si="8"/>
        <v>-0.47999999999999698</v>
      </c>
      <c r="K170" s="15">
        <f t="shared" si="9"/>
        <v>1.4799999999999969</v>
      </c>
      <c r="L170" s="14">
        <f t="shared" si="7"/>
        <v>1.9914265783334086E-9</v>
      </c>
      <c r="M170" s="16">
        <f t="shared" ref="M170:M206" si="11">J170*C$125+F$125*K170</f>
        <v>1.6502103013181044E-2</v>
      </c>
    </row>
    <row r="171" spans="9:13">
      <c r="I171" s="8"/>
      <c r="J171" s="15">
        <f t="shared" si="8"/>
        <v>-0.54999999999999694</v>
      </c>
      <c r="K171" s="15">
        <f t="shared" si="9"/>
        <v>1.5499999999999969</v>
      </c>
      <c r="L171" s="14">
        <f t="shared" ref="L171:L206" si="12">SQRT(J171^2*$C$130+K171^2*$D$131+2*$C$131*J171*K171)</f>
        <v>2.0601093775691287E-9</v>
      </c>
      <c r="M171" s="16">
        <f t="shared" si="11"/>
        <v>1.6278036171015375E-2</v>
      </c>
    </row>
    <row r="172" spans="9:13">
      <c r="I172" s="8"/>
      <c r="J172" s="15">
        <f t="shared" ref="J172:J206" si="13">J171-($J$106-$K$106)/100</f>
        <v>-0.619999999999997</v>
      </c>
      <c r="K172" s="15">
        <f t="shared" ref="K172:K206" si="14">1-J172</f>
        <v>1.619999999999997</v>
      </c>
      <c r="L172" s="14">
        <f t="shared" si="12"/>
        <v>2.1305998432432273E-9</v>
      </c>
      <c r="M172" s="16">
        <f t="shared" si="11"/>
        <v>1.6053969328849706E-2</v>
      </c>
    </row>
    <row r="173" spans="9:13">
      <c r="I173" s="8"/>
      <c r="J173" s="15">
        <f t="shared" si="13"/>
        <v>-0.68999999999999706</v>
      </c>
      <c r="K173" s="15">
        <f t="shared" si="14"/>
        <v>1.6899999999999971</v>
      </c>
      <c r="L173" s="14">
        <f t="shared" si="12"/>
        <v>2.2027244381293161E-9</v>
      </c>
      <c r="M173" s="16">
        <f t="shared" si="11"/>
        <v>1.5829902486684033E-2</v>
      </c>
    </row>
    <row r="174" spans="9:13">
      <c r="I174" s="8"/>
      <c r="J174" s="15">
        <f t="shared" si="13"/>
        <v>-0.75999999999999712</v>
      </c>
      <c r="K174" s="15">
        <f t="shared" si="14"/>
        <v>1.7599999999999971</v>
      </c>
      <c r="L174" s="14">
        <f t="shared" si="12"/>
        <v>2.2763278372107131E-9</v>
      </c>
      <c r="M174" s="16">
        <f t="shared" si="11"/>
        <v>1.5605835644518364E-2</v>
      </c>
    </row>
    <row r="175" spans="9:13">
      <c r="I175" s="8"/>
      <c r="J175" s="15">
        <f t="shared" si="13"/>
        <v>-0.82999999999999718</v>
      </c>
      <c r="K175" s="15">
        <f t="shared" si="14"/>
        <v>1.8299999999999972</v>
      </c>
      <c r="L175" s="14">
        <f t="shared" si="12"/>
        <v>2.3512711686262266E-9</v>
      </c>
      <c r="M175" s="16">
        <f t="shared" si="11"/>
        <v>1.5381768802352692E-2</v>
      </c>
    </row>
    <row r="176" spans="9:13">
      <c r="I176" s="8"/>
      <c r="J176" s="15">
        <f t="shared" si="13"/>
        <v>-0.89999999999999725</v>
      </c>
      <c r="K176" s="15">
        <f t="shared" si="14"/>
        <v>1.8999999999999972</v>
      </c>
      <c r="L176" s="14">
        <f t="shared" si="12"/>
        <v>2.4274303302442542E-9</v>
      </c>
      <c r="M176" s="16">
        <f t="shared" si="11"/>
        <v>1.5157701960187023E-2</v>
      </c>
    </row>
    <row r="177" spans="9:13">
      <c r="I177" s="8"/>
      <c r="J177" s="15">
        <f t="shared" si="13"/>
        <v>-0.96999999999999731</v>
      </c>
      <c r="K177" s="15">
        <f t="shared" si="14"/>
        <v>1.9699999999999973</v>
      </c>
      <c r="L177" s="14">
        <f t="shared" si="12"/>
        <v>2.5046944168482431E-9</v>
      </c>
      <c r="M177" s="16">
        <f t="shared" si="11"/>
        <v>1.493363511802135E-2</v>
      </c>
    </row>
    <row r="178" spans="9:13">
      <c r="I178" s="8"/>
      <c r="J178" s="15">
        <f t="shared" si="13"/>
        <v>-1.0399999999999974</v>
      </c>
      <c r="K178" s="15">
        <f t="shared" si="14"/>
        <v>2.0399999999999974</v>
      </c>
      <c r="L178" s="14">
        <f t="shared" si="12"/>
        <v>2.5829642756368195E-9</v>
      </c>
      <c r="M178" s="16">
        <f t="shared" si="11"/>
        <v>1.4709568275855674E-2</v>
      </c>
    </row>
    <row r="179" spans="9:13">
      <c r="I179" s="8"/>
      <c r="J179" s="15">
        <f t="shared" si="13"/>
        <v>-1.1099999999999974</v>
      </c>
      <c r="K179" s="15">
        <f t="shared" si="14"/>
        <v>2.1099999999999977</v>
      </c>
      <c r="L179" s="14">
        <f t="shared" si="12"/>
        <v>2.6621511960190323E-9</v>
      </c>
      <c r="M179" s="16">
        <f t="shared" si="11"/>
        <v>1.4485501433690016E-2</v>
      </c>
    </row>
    <row r="180" spans="9:13">
      <c r="I180" s="8"/>
      <c r="J180" s="15">
        <f t="shared" si="13"/>
        <v>-1.1799999999999975</v>
      </c>
      <c r="K180" s="15">
        <f t="shared" si="14"/>
        <v>2.1799999999999975</v>
      </c>
      <c r="L180" s="14">
        <f t="shared" si="12"/>
        <v>2.7421757320673919E-9</v>
      </c>
      <c r="M180" s="16">
        <f t="shared" si="11"/>
        <v>1.4261434591524333E-2</v>
      </c>
    </row>
    <row r="181" spans="9:13">
      <c r="I181" s="8"/>
      <c r="J181" s="15">
        <f t="shared" si="13"/>
        <v>-1.2499999999999976</v>
      </c>
      <c r="K181" s="15">
        <f t="shared" si="14"/>
        <v>2.2499999999999973</v>
      </c>
      <c r="L181" s="14">
        <f t="shared" si="12"/>
        <v>2.8229666513151282E-9</v>
      </c>
      <c r="M181" s="16">
        <f t="shared" si="11"/>
        <v>1.403736774935866E-2</v>
      </c>
    </row>
    <row r="182" spans="9:13">
      <c r="I182" s="8"/>
      <c r="J182" s="15">
        <f t="shared" si="13"/>
        <v>-1.3199999999999976</v>
      </c>
      <c r="K182" s="15">
        <f t="shared" si="14"/>
        <v>2.3199999999999976</v>
      </c>
      <c r="L182" s="14">
        <f t="shared" si="12"/>
        <v>2.9044600009570824E-9</v>
      </c>
      <c r="M182" s="16">
        <f t="shared" si="11"/>
        <v>1.3813300907192991E-2</v>
      </c>
    </row>
    <row r="183" spans="9:13">
      <c r="I183" s="8"/>
      <c r="J183" s="15">
        <f t="shared" si="13"/>
        <v>-1.3899999999999977</v>
      </c>
      <c r="K183" s="15">
        <f t="shared" si="14"/>
        <v>2.3899999999999979</v>
      </c>
      <c r="L183" s="14">
        <f t="shared" si="12"/>
        <v>2.9865982812735506E-9</v>
      </c>
      <c r="M183" s="16">
        <f t="shared" si="11"/>
        <v>1.3589234065027326E-2</v>
      </c>
    </row>
    <row r="184" spans="9:13">
      <c r="I184" s="8"/>
      <c r="J184" s="15">
        <f t="shared" si="13"/>
        <v>-1.4599999999999977</v>
      </c>
      <c r="K184" s="15">
        <f t="shared" si="14"/>
        <v>2.4599999999999977</v>
      </c>
      <c r="L184" s="14">
        <f t="shared" si="12"/>
        <v>3.0693297157648086E-9</v>
      </c>
      <c r="M184" s="16">
        <f t="shared" si="11"/>
        <v>1.336516722286165E-2</v>
      </c>
    </row>
    <row r="185" spans="9:13">
      <c r="I185" s="8"/>
      <c r="J185" s="15">
        <f t="shared" si="13"/>
        <v>-1.5299999999999978</v>
      </c>
      <c r="K185" s="15">
        <f t="shared" si="14"/>
        <v>2.5299999999999976</v>
      </c>
      <c r="L185" s="14">
        <f>SQRT(J185^2*$C$130+K185^2*$D$131+2*$C$131*J185*K185)</f>
        <v>3.152607607722832E-9</v>
      </c>
      <c r="M185" s="16">
        <f t="shared" si="11"/>
        <v>1.3141100380695978E-2</v>
      </c>
    </row>
    <row r="186" spans="9:13">
      <c r="I186" s="8"/>
      <c r="J186" s="15">
        <f t="shared" si="13"/>
        <v>-1.5999999999999979</v>
      </c>
      <c r="K186" s="15">
        <f t="shared" si="14"/>
        <v>2.5999999999999979</v>
      </c>
      <c r="L186" s="14">
        <f t="shared" si="12"/>
        <v>3.2363897735426018E-9</v>
      </c>
      <c r="M186" s="16">
        <f t="shared" si="11"/>
        <v>1.2917033538530312E-2</v>
      </c>
    </row>
    <row r="187" spans="9:13">
      <c r="I187" s="8"/>
      <c r="J187" s="15">
        <f t="shared" si="13"/>
        <v>-1.6699999999999979</v>
      </c>
      <c r="K187" s="15">
        <f t="shared" si="14"/>
        <v>2.6699999999999982</v>
      </c>
      <c r="L187" s="14">
        <f t="shared" si="12"/>
        <v>3.3206380438305268E-9</v>
      </c>
      <c r="M187" s="16">
        <f t="shared" si="11"/>
        <v>1.269296669636464E-2</v>
      </c>
    </row>
    <row r="188" spans="9:13">
      <c r="I188" s="8"/>
      <c r="J188" s="15">
        <f t="shared" si="13"/>
        <v>-1.739999999999998</v>
      </c>
      <c r="K188" s="15">
        <f t="shared" si="14"/>
        <v>2.739999999999998</v>
      </c>
      <c r="L188" s="14">
        <f t="shared" si="12"/>
        <v>3.4053178241982594E-9</v>
      </c>
      <c r="M188" s="16">
        <f t="shared" si="11"/>
        <v>1.2468899854198967E-2</v>
      </c>
    </row>
    <row r="189" spans="9:13">
      <c r="I189" s="8"/>
      <c r="J189" s="15">
        <f t="shared" si="13"/>
        <v>-1.8099999999999981</v>
      </c>
      <c r="K189" s="15">
        <f t="shared" si="14"/>
        <v>2.8099999999999978</v>
      </c>
      <c r="L189" s="14">
        <f t="shared" si="12"/>
        <v>3.4903977084702471E-9</v>
      </c>
      <c r="M189" s="16">
        <f t="shared" si="11"/>
        <v>1.2244833012033295E-2</v>
      </c>
    </row>
    <row r="190" spans="9:13">
      <c r="I190" s="8"/>
      <c r="J190" s="15">
        <f t="shared" si="13"/>
        <v>-1.8799999999999981</v>
      </c>
      <c r="K190" s="15">
        <f t="shared" si="14"/>
        <v>2.8799999999999981</v>
      </c>
      <c r="L190" s="14">
        <f t="shared" si="12"/>
        <v>3.5758491378427292E-9</v>
      </c>
      <c r="M190" s="16">
        <f t="shared" si="11"/>
        <v>1.2020766169867629E-2</v>
      </c>
    </row>
    <row r="191" spans="9:13">
      <c r="I191" s="8"/>
      <c r="J191" s="15">
        <f t="shared" si="13"/>
        <v>-1.9499999999999982</v>
      </c>
      <c r="K191" s="15">
        <f t="shared" si="14"/>
        <v>2.9499999999999984</v>
      </c>
      <c r="L191" s="14">
        <f t="shared" si="12"/>
        <v>3.6616461002875566E-9</v>
      </c>
      <c r="M191" s="16">
        <f t="shared" si="11"/>
        <v>1.1796699327701957E-2</v>
      </c>
    </row>
    <row r="192" spans="9:13">
      <c r="I192" s="8"/>
      <c r="J192" s="15">
        <f t="shared" si="13"/>
        <v>-2.0199999999999982</v>
      </c>
      <c r="K192" s="15">
        <f t="shared" si="14"/>
        <v>3.0199999999999982</v>
      </c>
      <c r="L192" s="14">
        <f t="shared" si="12"/>
        <v>3.7477648651850866E-9</v>
      </c>
      <c r="M192" s="16">
        <f t="shared" si="11"/>
        <v>1.1572632485536284E-2</v>
      </c>
    </row>
    <row r="193" spans="9:13">
      <c r="I193" s="8"/>
      <c r="J193" s="15">
        <f t="shared" si="13"/>
        <v>-2.0899999999999981</v>
      </c>
      <c r="K193" s="15">
        <f t="shared" si="14"/>
        <v>3.0899999999999981</v>
      </c>
      <c r="L193" s="14">
        <f t="shared" si="12"/>
        <v>3.8341837487925327E-9</v>
      </c>
      <c r="M193" s="16">
        <f t="shared" si="11"/>
        <v>1.1348565643370619E-2</v>
      </c>
    </row>
    <row r="194" spans="9:13">
      <c r="I194" s="8"/>
      <c r="J194" s="15">
        <f t="shared" si="13"/>
        <v>-2.1599999999999979</v>
      </c>
      <c r="K194" s="15">
        <f t="shared" si="14"/>
        <v>3.1599999999999979</v>
      </c>
      <c r="L194" s="14">
        <f t="shared" si="12"/>
        <v>3.9208829067083834E-9</v>
      </c>
      <c r="M194" s="16">
        <f t="shared" si="11"/>
        <v>1.1124498801204946E-2</v>
      </c>
    </row>
    <row r="195" spans="9:13">
      <c r="I195" s="8"/>
      <c r="J195" s="15">
        <f t="shared" si="13"/>
        <v>-2.2299999999999978</v>
      </c>
      <c r="K195" s="15">
        <f t="shared" si="14"/>
        <v>3.2299999999999978</v>
      </c>
      <c r="L195" s="14">
        <f t="shared" si="12"/>
        <v>4.007844149983311E-9</v>
      </c>
      <c r="M195" s="16">
        <f t="shared" si="11"/>
        <v>1.0900431959039281E-2</v>
      </c>
    </row>
    <row r="196" spans="9:13">
      <c r="I196" s="8"/>
      <c r="J196" s="15">
        <f t="shared" si="13"/>
        <v>-2.2999999999999976</v>
      </c>
      <c r="K196" s="15">
        <f t="shared" si="14"/>
        <v>3.2999999999999976</v>
      </c>
      <c r="L196" s="14">
        <f t="shared" si="12"/>
        <v>4.0950507819582843E-9</v>
      </c>
      <c r="M196" s="16">
        <f t="shared" si="11"/>
        <v>1.0676365116873608E-2</v>
      </c>
    </row>
    <row r="197" spans="9:13">
      <c r="I197" s="8"/>
      <c r="J197" s="15">
        <f t="shared" si="13"/>
        <v>-2.3699999999999974</v>
      </c>
      <c r="K197" s="15">
        <f t="shared" si="14"/>
        <v>3.3699999999999974</v>
      </c>
      <c r="L197" s="14">
        <f t="shared" si="12"/>
        <v>4.1824874532869921E-9</v>
      </c>
      <c r="M197" s="16">
        <f t="shared" si="11"/>
        <v>1.0452298274707936E-2</v>
      </c>
    </row>
    <row r="198" spans="9:13">
      <c r="I198" s="8"/>
      <c r="J198" s="15">
        <f t="shared" si="13"/>
        <v>-2.4399999999999973</v>
      </c>
      <c r="K198" s="15">
        <f t="shared" si="14"/>
        <v>3.4399999999999973</v>
      </c>
      <c r="L198" s="14">
        <f t="shared" si="12"/>
        <v>4.2701400329278792E-9</v>
      </c>
      <c r="M198" s="16">
        <f t="shared" si="11"/>
        <v>1.0228231432542263E-2</v>
      </c>
    </row>
    <row r="199" spans="9:13">
      <c r="I199" s="8"/>
      <c r="J199" s="15">
        <f t="shared" si="13"/>
        <v>-2.5099999999999971</v>
      </c>
      <c r="K199" s="15">
        <f t="shared" si="14"/>
        <v>3.5099999999999971</v>
      </c>
      <c r="L199" s="14">
        <f t="shared" si="12"/>
        <v>4.357995493176623E-9</v>
      </c>
      <c r="M199" s="16">
        <f t="shared" si="11"/>
        <v>1.0004164590376591E-2</v>
      </c>
    </row>
    <row r="200" spans="9:13">
      <c r="I200" s="8"/>
      <c r="J200" s="15">
        <f t="shared" si="13"/>
        <v>-2.579999999999997</v>
      </c>
      <c r="K200" s="15">
        <f t="shared" si="14"/>
        <v>3.579999999999997</v>
      </c>
      <c r="L200" s="14">
        <f t="shared" si="12"/>
        <v>4.4460418070578746E-9</v>
      </c>
      <c r="M200" s="16">
        <f t="shared" si="11"/>
        <v>9.7800977482109253E-3</v>
      </c>
    </row>
    <row r="201" spans="9:13">
      <c r="I201" s="8"/>
      <c r="J201" s="15">
        <f t="shared" si="13"/>
        <v>-2.6499999999999968</v>
      </c>
      <c r="K201" s="15">
        <f t="shared" si="14"/>
        <v>3.6499999999999968</v>
      </c>
      <c r="L201" s="14">
        <f t="shared" si="12"/>
        <v>4.5342678566103035E-9</v>
      </c>
      <c r="M201" s="16">
        <f t="shared" si="11"/>
        <v>9.5560309060452528E-3</v>
      </c>
    </row>
    <row r="202" spans="9:13">
      <c r="I202" s="8"/>
      <c r="J202" s="15">
        <f t="shared" si="13"/>
        <v>-2.7199999999999966</v>
      </c>
      <c r="K202" s="15">
        <f t="shared" si="14"/>
        <v>3.7199999999999966</v>
      </c>
      <c r="L202" s="14">
        <f t="shared" si="12"/>
        <v>4.6226633507856244E-9</v>
      </c>
      <c r="M202" s="16">
        <f t="shared" si="11"/>
        <v>9.3319640638795873E-3</v>
      </c>
    </row>
    <row r="203" spans="9:13">
      <c r="I203" s="8"/>
      <c r="J203" s="15">
        <f t="shared" si="13"/>
        <v>-2.7899999999999965</v>
      </c>
      <c r="K203" s="15">
        <f t="shared" si="14"/>
        <v>3.7899999999999965</v>
      </c>
      <c r="L203" s="14">
        <f t="shared" si="12"/>
        <v>4.7112187518441564E-9</v>
      </c>
      <c r="M203" s="16">
        <f t="shared" si="11"/>
        <v>9.1078972217139148E-3</v>
      </c>
    </row>
    <row r="204" spans="9:13">
      <c r="I204" s="8"/>
      <c r="J204" s="15">
        <f t="shared" si="13"/>
        <v>-2.8599999999999963</v>
      </c>
      <c r="K204" s="15">
        <f t="shared" si="14"/>
        <v>3.8599999999999963</v>
      </c>
      <c r="L204" s="14">
        <f t="shared" si="12"/>
        <v>4.7999252092697947E-9</v>
      </c>
      <c r="M204" s="16">
        <f t="shared" si="11"/>
        <v>8.8838303795482423E-3</v>
      </c>
    </row>
    <row r="205" spans="9:13">
      <c r="I205" s="8"/>
      <c r="J205" s="15">
        <f t="shared" si="13"/>
        <v>-2.9299999999999962</v>
      </c>
      <c r="K205" s="15">
        <f t="shared" si="14"/>
        <v>3.9299999999999962</v>
      </c>
      <c r="L205" s="14">
        <f t="shared" si="12"/>
        <v>4.8887745003491017E-9</v>
      </c>
      <c r="M205" s="16">
        <f t="shared" si="11"/>
        <v>8.6597635373825768E-3</v>
      </c>
    </row>
    <row r="206" spans="9:13">
      <c r="I206" s="8"/>
      <c r="J206" s="15">
        <f t="shared" si="13"/>
        <v>-2.999999999999996</v>
      </c>
      <c r="K206" s="15">
        <f t="shared" si="14"/>
        <v>3.999999999999996</v>
      </c>
      <c r="L206" s="14">
        <f t="shared" si="12"/>
        <v>4.9777589766648785E-9</v>
      </c>
      <c r="M206" s="16">
        <f t="shared" si="11"/>
        <v>8.4356966952169044E-3</v>
      </c>
    </row>
    <row r="207" spans="9:13">
      <c r="J207" s="14"/>
      <c r="K207" s="14"/>
    </row>
    <row r="208" spans="9:13">
      <c r="J208" s="14"/>
      <c r="K208" s="14"/>
    </row>
    <row r="209" spans="10:11">
      <c r="J209" s="14"/>
      <c r="K209" s="14"/>
    </row>
    <row r="210" spans="10:11">
      <c r="J210" s="14"/>
      <c r="K210" s="14"/>
    </row>
    <row r="211" spans="10:11">
      <c r="J211" s="14"/>
      <c r="K211" s="14"/>
    </row>
    <row r="212" spans="10:11">
      <c r="J212" s="14"/>
      <c r="K212" s="14"/>
    </row>
    <row r="213" spans="10:11">
      <c r="J213" s="14"/>
      <c r="K213" s="14"/>
    </row>
    <row r="214" spans="10:11">
      <c r="J214" s="14"/>
      <c r="K214" s="14"/>
    </row>
    <row r="215" spans="10:11">
      <c r="J215" s="14"/>
      <c r="K215" s="14"/>
    </row>
    <row r="216" spans="10:11">
      <c r="J216" s="14"/>
      <c r="K216" s="14"/>
    </row>
    <row r="217" spans="10:11">
      <c r="J217" s="14"/>
      <c r="K217" s="14"/>
    </row>
    <row r="218" spans="10:11">
      <c r="J218" s="14"/>
      <c r="K218" s="14"/>
    </row>
    <row r="219" spans="10:11">
      <c r="J219" s="14"/>
      <c r="K219" s="14"/>
    </row>
    <row r="220" spans="10:11">
      <c r="J220" s="14"/>
      <c r="K220" s="14"/>
    </row>
    <row r="221" spans="10:11">
      <c r="J221" s="14"/>
      <c r="K221" s="14"/>
    </row>
    <row r="222" spans="10:11">
      <c r="J222" s="14"/>
      <c r="K222" s="14"/>
    </row>
    <row r="223" spans="10:11">
      <c r="J223" s="14"/>
      <c r="K223" s="14"/>
    </row>
    <row r="224" spans="10:11">
      <c r="J224" s="14"/>
      <c r="K224" s="14"/>
    </row>
  </sheetData>
  <mergeCells count="3">
    <mergeCell ref="P140:Q140"/>
    <mergeCell ref="P137:Q137"/>
    <mergeCell ref="P138:Q13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8C8A-A3DF-472F-B940-17D79D18BCE6}">
  <dimension ref="A1:E18"/>
  <sheetViews>
    <sheetView tabSelected="1" zoomScale="120" zoomScaleNormal="120" workbookViewId="0">
      <selection activeCell="F8" sqref="F8"/>
    </sheetView>
  </sheetViews>
  <sheetFormatPr defaultRowHeight="15"/>
  <cols>
    <col min="1" max="1" width="13.140625" bestFit="1" customWidth="1"/>
    <col min="2" max="2" width="15.7109375" bestFit="1" customWidth="1"/>
    <col min="3" max="3" width="18.42578125" bestFit="1" customWidth="1"/>
    <col min="4" max="4" width="15.28515625" customWidth="1"/>
    <col min="5" max="5" width="20.140625" bestFit="1" customWidth="1"/>
    <col min="6" max="6" width="25.85546875" customWidth="1"/>
  </cols>
  <sheetData>
    <row r="1" spans="1:5">
      <c r="A1" s="1"/>
      <c r="B1" s="1" t="s">
        <v>26</v>
      </c>
      <c r="C1" t="s">
        <v>35</v>
      </c>
      <c r="D1" t="s">
        <v>36</v>
      </c>
      <c r="E1" s="45" t="s">
        <v>56</v>
      </c>
    </row>
    <row r="2" spans="1:5">
      <c r="A2" s="1" t="s">
        <v>1</v>
      </c>
      <c r="B2" s="1">
        <v>-0.67799895386746278</v>
      </c>
      <c r="C2">
        <f>B2*100000000</f>
        <v>-67799895.386746272</v>
      </c>
      <c r="D2">
        <v>6955</v>
      </c>
      <c r="E2" s="2">
        <f>C2/D2</f>
        <v>-9748.3674172172923</v>
      </c>
    </row>
    <row r="3" spans="1:5">
      <c r="A3" s="1" t="s">
        <v>2</v>
      </c>
      <c r="B3" s="1">
        <v>2.5507506863421834</v>
      </c>
      <c r="C3">
        <f t="shared" ref="C3:C16" si="0">B3*100000000</f>
        <v>255075068.63421834</v>
      </c>
      <c r="D3">
        <v>810.2</v>
      </c>
      <c r="E3" s="2">
        <f>C3/D3</f>
        <v>314829.75639868958</v>
      </c>
    </row>
    <row r="4" spans="1:5">
      <c r="A4" s="1" t="s">
        <v>3</v>
      </c>
      <c r="B4" s="1">
        <v>-0.91499740594820334</v>
      </c>
      <c r="C4">
        <f t="shared" si="0"/>
        <v>-91499740.594820336</v>
      </c>
      <c r="D4">
        <v>606.20000000000005</v>
      </c>
      <c r="E4" s="2">
        <f>C4/D4</f>
        <v>-150939.85581461617</v>
      </c>
    </row>
    <row r="5" spans="1:5">
      <c r="A5" s="1" t="s">
        <v>4</v>
      </c>
      <c r="B5" s="1">
        <v>0.73399852969382728</v>
      </c>
      <c r="C5">
        <f t="shared" si="0"/>
        <v>73399852.969382733</v>
      </c>
      <c r="D5">
        <v>3358</v>
      </c>
      <c r="E5" s="2">
        <f>C5/D5</f>
        <v>21858.205172538037</v>
      </c>
    </row>
    <row r="6" spans="1:5">
      <c r="A6" s="44" t="s">
        <v>55</v>
      </c>
      <c r="B6" s="1">
        <v>-1.3650589019752606</v>
      </c>
      <c r="C6">
        <f t="shared" si="0"/>
        <v>-136505890.19752607</v>
      </c>
      <c r="D6">
        <v>2883</v>
      </c>
      <c r="E6" s="2">
        <f>C6/D6</f>
        <v>-47348.557127133565</v>
      </c>
    </row>
    <row r="7" spans="1:5">
      <c r="A7" s="1" t="s">
        <v>6</v>
      </c>
      <c r="B7" s="1">
        <v>0.49669530484773688</v>
      </c>
      <c r="C7">
        <f t="shared" si="0"/>
        <v>49669530.484773688</v>
      </c>
      <c r="D7">
        <v>232.1</v>
      </c>
      <c r="E7" s="2">
        <f>C7/D7</f>
        <v>214000.56219204518</v>
      </c>
    </row>
    <row r="8" spans="1:5">
      <c r="A8" s="1" t="s">
        <v>5</v>
      </c>
      <c r="B8" s="1">
        <v>0.41414465107409654</v>
      </c>
      <c r="C8">
        <f t="shared" si="0"/>
        <v>41414465.107409656</v>
      </c>
      <c r="D8">
        <v>625</v>
      </c>
      <c r="E8" s="2">
        <f>C8/D8</f>
        <v>66263.144171855456</v>
      </c>
    </row>
    <row r="9" spans="1:5">
      <c r="A9" s="1" t="s">
        <v>7</v>
      </c>
      <c r="B9" s="1">
        <v>-0.76605438941160608</v>
      </c>
      <c r="C9">
        <f t="shared" si="0"/>
        <v>-76605438.941160604</v>
      </c>
      <c r="D9">
        <v>2354</v>
      </c>
      <c r="E9" s="2">
        <f>C9/D9</f>
        <v>-32542.667349685897</v>
      </c>
    </row>
    <row r="10" spans="1:5">
      <c r="A10" s="1" t="s">
        <v>8</v>
      </c>
      <c r="B10" s="1">
        <v>0.70376014543221999</v>
      </c>
      <c r="C10">
        <f t="shared" si="0"/>
        <v>70376014.543221995</v>
      </c>
      <c r="D10">
        <v>1685</v>
      </c>
      <c r="E10" s="2">
        <f>C10/D10</f>
        <v>41766.180737817209</v>
      </c>
    </row>
    <row r="11" spans="1:5">
      <c r="A11" s="44" t="s">
        <v>51</v>
      </c>
      <c r="B11" s="1">
        <v>0.89835673255877979</v>
      </c>
      <c r="C11">
        <f t="shared" si="0"/>
        <v>89835673.255877987</v>
      </c>
      <c r="D11">
        <v>925</v>
      </c>
      <c r="E11" s="2">
        <f>C11/D11</f>
        <v>97119.646763111334</v>
      </c>
    </row>
    <row r="12" spans="1:5">
      <c r="A12" s="1" t="s">
        <v>10</v>
      </c>
      <c r="B12" s="1">
        <v>6.8107109092970018E-4</v>
      </c>
      <c r="C12">
        <f t="shared" si="0"/>
        <v>68107.109092970015</v>
      </c>
      <c r="D12">
        <v>6055</v>
      </c>
      <c r="E12" s="2">
        <f>C12/D12</f>
        <v>11.248077472001654</v>
      </c>
    </row>
    <row r="13" spans="1:5">
      <c r="A13" s="1" t="s">
        <v>11</v>
      </c>
      <c r="B13" s="1">
        <v>-0.95362327660094859</v>
      </c>
      <c r="C13">
        <f t="shared" si="0"/>
        <v>-95362327.660094857</v>
      </c>
      <c r="D13">
        <v>1974</v>
      </c>
      <c r="E13" s="2">
        <f>C13/D13</f>
        <v>-48309.183211800839</v>
      </c>
    </row>
    <row r="14" spans="1:5">
      <c r="A14" s="1" t="s">
        <v>12</v>
      </c>
      <c r="B14" s="1">
        <v>-0.52940911884604647</v>
      </c>
      <c r="C14">
        <f t="shared" si="0"/>
        <v>-52940911.884604648</v>
      </c>
      <c r="D14">
        <v>925</v>
      </c>
      <c r="E14" s="2">
        <f>C14/D14</f>
        <v>-57233.418253626645</v>
      </c>
    </row>
    <row r="15" spans="1:5">
      <c r="A15" s="1" t="s">
        <v>13</v>
      </c>
      <c r="B15" s="1">
        <v>2.9911916163235048</v>
      </c>
      <c r="C15">
        <f t="shared" si="0"/>
        <v>299119161.6323505</v>
      </c>
      <c r="D15">
        <v>3260</v>
      </c>
      <c r="E15" s="2">
        <f>C15/D15</f>
        <v>91754.344059003226</v>
      </c>
    </row>
    <row r="16" spans="1:5">
      <c r="A16" s="1" t="s">
        <v>14</v>
      </c>
      <c r="B16" s="1">
        <v>-2.5824366907137506</v>
      </c>
      <c r="C16">
        <f t="shared" si="0"/>
        <v>-258243669.07137507</v>
      </c>
      <c r="D16">
        <v>4076</v>
      </c>
      <c r="E16" s="2">
        <f>C16/D16</f>
        <v>-63357.131764321653</v>
      </c>
    </row>
    <row r="18" spans="1:5">
      <c r="A18" s="46" t="s">
        <v>57</v>
      </c>
      <c r="B18" s="47">
        <f>SUM(B2:B16)</f>
        <v>0.99999999999999956</v>
      </c>
      <c r="C18" s="48">
        <f>SUM(C2:C16)</f>
        <v>100000000</v>
      </c>
      <c r="D18" s="48">
        <f t="shared" ref="C18:E18" si="1">SUM(D2:D16)</f>
        <v>36723.5</v>
      </c>
      <c r="E18" s="49">
        <f t="shared" si="1"/>
        <v>438123.90663412993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magoo</dc:creator>
  <cp:lastModifiedBy>Vaibhav Magoo (Student)</cp:lastModifiedBy>
  <dcterms:created xsi:type="dcterms:W3CDTF">2015-06-05T18:17:00Z</dcterms:created>
  <dcterms:modified xsi:type="dcterms:W3CDTF">2020-03-13T15:58:50Z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